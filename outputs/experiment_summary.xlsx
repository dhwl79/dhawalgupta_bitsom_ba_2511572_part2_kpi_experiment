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Summary" sheetId="2" state="visible" r:id="rId4"/>
    <sheet name="Segment_Analysis" sheetId="3" state="visible" r:id="rId5"/>
    <sheet name="Hypothesis_T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<sst xmlns="http://schemas.openxmlformats.org/spreadsheetml/2006/main" count="8545" uniqueCount="1517">
  <si>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</si>
  <si>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</si>
  <si>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</si>
  <si>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</si>
  <si>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</si>
  <si>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</si>
  <si>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</si>
  <si>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</si>
  <si>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</si>
  <si>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</si>
  <si>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</si>
  <si>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</si>
  <si>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</si>
  <si>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</si>
  <si>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</si>
  <si>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</si>
  <si>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</si>
  <si>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</si>
  <si>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</si>
  <si>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</si>
  <si>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</si>
  <si>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</si>
  <si>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</si>
  <si>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</si>
  <si>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</si>
  <si>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</si>
  <si>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</si>
  <si>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</si>
  <si>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</si>
  <si>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</si>
  <si>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</si>
  <si>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</si>
  <si>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</si>
  <si>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</si>
  <si>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</si>
  <si>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</si>
  <si>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</si>
  <si>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</si>
  <si>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</si>
  <si>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</si>
  <si>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</si>
  <si>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</si>
  <si>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</si>
  <si>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</si>
  <si>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</si>
  <si>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</si>
  <si>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</si>
  <si>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</si>
  <si>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</si>
  <si>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</si>
  <si>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</si>
  <si>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</si>
  <si>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</si>
  <si>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</si>
  <si>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</si>
  <si>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</si>
  <si>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</si>
  <si>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</si>
  <si>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</si>
  <si>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</si>
  <si>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</si>
  <si>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</si>
  <si>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</si>
  <si>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</si>
  <si>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</si>
  <si>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</si>
  <si>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</si>
  <si>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</si>
  <si>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</si>
  <si>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</si>
  <si>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</si>
  <si>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</si>
  <si>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</si>
  <si>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</si>
  <si>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</si>
  <si>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</si>
  <si>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</si>
  <si>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</si>
  <si>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</si>
  <si>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</si>
  <si>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</si>
  <si>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</si>
  <si>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</si>
  <si>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</si>
  <si>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</si>
  <si>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</si>
  <si>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</si>
  <si>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</si>
  <si>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</si>
  <si>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</si>
  <si>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</si>
  <si>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</si>
  <si>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</si>
  <si>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</si>
  <si>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</si>
  <si>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</si>
  <si>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</si>
  <si>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</si>
  <si>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</si>
  <si>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</si>
  <si>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</si>
  <si>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</si>
  <si>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</si>
  <si>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</si>
  <si>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</si>
  <si>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</si>
  <si>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</si>
  <si>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</si>
  <si>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</si>
  <si>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</si>
  <si>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</si>
  <si>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</si>
  <si>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</si>
  <si>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</si>
  <si>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</si>
  <si>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</si>
  <si>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</si>
  <si>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</si>
  <si>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</si>
  <si>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</si>
  <si>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</si>
  <si>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</si>
  <si>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</si>
  <si>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</si>
  <si>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</si>
  <si>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</si>
  <si>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</si>
  <si>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</si>
  <si>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</si>
  <si>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</si>
  <si>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</si>
  <si>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</si>
  <si>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</si>
  <si>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</si>
  <si>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</si>
  <si>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</si>
  <si>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</si>
  <si>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</si>
  <si>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</si>
  <si>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</si>
  <si>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</si>
  <si>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</si>
  <si>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</si>
  <si>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</si>
  <si>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</si>
  <si>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</si>
  <si>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</si>
  <si>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</si>
  <si>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</si>
  <si>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</si>
  <si>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</si>
  <si>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</si>
  <si>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</si>
  <si>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</si>
  <si>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</si>
  <si>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</si>
  <si>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Unknown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</si>
  <si>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</si>
  <si>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</si>
  <si>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</si>
  <si>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</si>
  <si>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</si>
  <si>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</si>
  <si>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</si>
  <si>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</si>
  <si>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</si>
  <si>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</si>
  <si>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</si>
  <si>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</si>
  <si>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</si>
  <si>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</si>
  <si>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</si>
  <si>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</si>
  <si>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</si>
  <si>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</si>
  <si>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</si>
  <si>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</si>
  <si>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</si>
  <si>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</si>
  <si>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</si>
  <si>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</si>
  <si>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</si>
  <si>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</si>
  <si>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</si>
  <si>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</si>
  <si>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</si>
  <si>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</si>
  <si>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</si>
  <si>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</si>
  <si>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</si>
  <si>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</si>
  <si>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</si>
  <si>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</si>
  <si>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</si>
  <si>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</si>
  <si>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</si>
  <si>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</si>
  <si>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</si>
  <si>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</si>
  <si>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</si>
  <si>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</si>
  <si>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</si>
  <si>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</si>
  <si>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</si>
  <si>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</si>
  <si>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</si>
  <si>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</si>
  <si>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</si>
  <si>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</si>
  <si>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</si>
  <si>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</si>
  <si>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</si>
  <si>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</si>
  <si>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</si>
  <si>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</si>
  <si>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</si>
  <si>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</si>
  <si>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</si>
  <si>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</si>
  <si>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</si>
  <si>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</si>
  <si>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</si>
  <si>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</si>
  <si>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</si>
  <si>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</si>
  <si>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</si>
  <si>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</si>
  <si>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</si>
  <si>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</si>
  <si>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</si>
  <si>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</si>
  <si>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</si>
  <si>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</si>
  <si>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</si>
  <si>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</si>
  <si>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</si>
  <si>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</si>
  <si>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</si>
  <si>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</si>
  <si>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</si>
  <si>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</si>
  <si>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</si>
  <si>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</si>
  <si>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</si>
  <si>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</si>
  <si>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</si>
  <si>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</si>
  <si>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</si>
  <si>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</si>
  <si>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</si>
  <si>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</si>
  <si>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</si>
  <si>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</si>
  <si>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</si>
  <si>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</si>
  <si>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</si>
  <si>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</si>
  <si>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</si>
  <si>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</si>
  <si>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</si>
  <si>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</si>
  <si>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</si>
  <si>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</si>
  <si>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</si>
  <si>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</si>
  <si>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</si>
  <si>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</si>
  <si>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</si>
  <si>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</si>
  <si>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</si>
  <si>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</si>
  <si>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</si>
  <si>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</si>
  <si>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</si>
  <si>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</si>
  <si>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</si>
  <si>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</si>
  <si>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</si>
  <si>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</si>
  <si>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</si>
  <si>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</si>
  <si>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</si>
  <si>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</si>
  <si>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</si>
  <si>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</si>
  <si>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</si>
  <si>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</si>
  <si>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</si>
  <si>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</si>
  <si>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</si>
  <si>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</si>
  <si>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</si>
  <si>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</si>
  <si>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</si>
  <si>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</si>
  <si>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</si>
  <si>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</si>
  <si>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</si>
  <si>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</si>
  <si>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</si>
  <si>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</si>
  <si>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</si>
  <si>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</si>
  <si>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</si>
  <si>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</si>
  <si>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</si>
  <si>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</si>
  <si>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</si>
  <si>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</si>
  <si>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</si>
  <si>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</si>
  <si>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</si>
  <si>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</si>
  <si>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</si>
  <si>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</si>
  <si>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</si>
  <si>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</si>
  <si>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</si>
  <si>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</si>
  <si>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</si>
  <si>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</si>
  <si>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</si>
  <si>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</si>
  <si>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</si>
  <si>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</si>
  <si>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</si>
  <si>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</si>
  <si>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</si>
  <si>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</si>
  <si>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</si>
  <si>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</si>
  <si>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</si>
  <si>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</si>
  <si>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</si>
  <si>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</si>
  <si>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</si>
  <si>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</si>
  <si>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</si>
  <si>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</si>
  <si>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</si>
  <si>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</si>
  <si>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</si>
  <si>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</si>
  <si>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</si>
  <si>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</si>
  <si>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</si>
  <si>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</si>
  <si>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</si>
  <si>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</si>
  <si>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</si>
  <si>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</si>
  <si>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</si>
  <si>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</si>
  <si>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</si>
  <si>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</si>
  <si>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</si>
  <si>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</si>
  <si>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</si>
  <si>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</si>
  <si>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</si>
  <si>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</si>
  <si>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</si>
  <si>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</si>
  <si>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</si>
  <si>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</si>
  <si>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</si>
  <si>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</si>
  <si>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</si>
  <si>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</si>
  <si>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</si>
  <si>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</si>
  <si>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</si>
  <si>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</si>
  <si>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</si>
  <si>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</si>
  <si>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</si>
  <si>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</si>
  <si>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</si>
  <si>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</si>
  <si>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</si>
  <si>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</si>
  <si>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</si>
  <si>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</si>
  <si>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</si>
  <si>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</si>
  <si>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</si>
  <si>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</si>
  <si>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</si>
  <si>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</si>
  <si>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</si>
  <si>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</si>
  <si>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</si>
  <si>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</si>
  <si>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</si>
  <si>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</si>
  <si>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</si>
  <si>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</si>
  <si>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</si>
  <si>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</si>
  <si>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</si>
  <si>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</si>
  <si>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</si>
  <si>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</si>
  <si>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</si>
  <si>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</si>
  <si>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</si>
  <si>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</si>
  <si>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</si>
  <si>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</si>
  <si>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</si>
  <si>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</si>
  <si>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</si>
  <si>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</si>
  <si>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</si>
  <si>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</si>
  <si>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</si>
  <si>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</si>
  <si>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</si>
  <si>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</si>
  <si>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</si>
  <si>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</si>
  <si>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</si>
  <si>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</si>
  <si>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</si>
  <si>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</si>
  <si>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</si>
  <si>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</si>
  <si>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</si>
  <si>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</si>
  <si>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</si>
  <si>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</si>
  <si>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</si>
  <si>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</si>
  <si>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</si>
  <si>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</si>
  <si>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</si>
  <si>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</si>
  <si>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</si>
  <si>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</si>
  <si>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</si>
  <si>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</si>
  <si>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</si>
  <si>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</si>
  <si>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</si>
  <si>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</si>
  <si>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</si>
  <si>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</si>
  <si>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</si>
  <si>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</si>
  <si>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</si>
  <si>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</si>
  <si>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</si>
  <si>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</si>
  <si>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</si>
  <si>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</si>
  <si>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</si>
  <si>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</si>
  <si>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</si>
  <si>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</si>
  <si>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</si>
  <si>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</si>
  <si>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</si>
  <si>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</si>
  <si>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</si>
  <si>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</si>
  <si>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</si>
  <si>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</si>
  <si>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</si>
  <si>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</si>
  <si>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</si>
  <si>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</si>
  <si>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</si>
  <si>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</si>
  <si>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</si>
  <si>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</si>
  <si>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</si>
  <si>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</si>
  <si>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</si>
  <si>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</si>
  <si>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</si>
  <si>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</si>
  <si>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</si>
  <si>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</si>
  <si>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</si>
  <si>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</si>
  <si>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</si>
  <si>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</si>
  <si>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</si>
  <si>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</si>
  <si>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</si>
  <si>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</si>
  <si>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</si>
  <si>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</si>
  <si>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</si>
  <si>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</si>
  <si>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</si>
  <si>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</si>
  <si>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</si>
  <si>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</si>
  <si>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</si>
  <si>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</si>
  <si>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</si>
  <si>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</si>
  <si>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</si>
  <si>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</si>
  <si>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</si>
  <si>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</si>
  <si>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</si>
  <si>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</si>
  <si>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</si>
  <si>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</si>
  <si>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</si>
  <si>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</si>
  <si>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</si>
  <si>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</si>
  <si>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</si>
  <si>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</si>
  <si>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</si>
  <si>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</si>
  <si>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</si>
  <si>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</si>
  <si>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</si>
  <si>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</si>
  <si>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</si>
  <si>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</si>
  <si>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</si>
  <si>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</si>
  <si>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</si>
  <si>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</si>
  <si>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</si>
  <si>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</si>
  <si>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</si>
  <si>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</si>
  <si>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</si>
  <si>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</si>
  <si>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</si>
  <si>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</si>
  <si>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</si>
  <si>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</si>
  <si>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</si>
  <si>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</si>
  <si>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</si>
  <si>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</si>
  <si>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</si>
  <si>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</si>
  <si>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</si>
  <si>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</si>
  <si>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</si>
  <si>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</si>
  <si>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</si>
  <si>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</si>
  <si>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</si>
  <si>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</si>
  <si>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</si>
  <si>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</si>
  <si>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</si>
  <si>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</si>
  <si>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</si>
  <si>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</si>
  <si>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</si>
  <si>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</si>
  <si>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</si>
  <si>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</si>
  <si>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</si>
  <si>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</si>
  <si>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</si>
  <si>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</si>
  <si>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</si>
  <si>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</si>
  <si>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</si>
  <si>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</si>
  <si>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</si>
  <si>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</si>
  <si>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</si>
  <si>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</si>
  <si>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</si>
  <si>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</si>
  <si>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</si>
  <si>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</si>
  <si>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</si>
  <si>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</si>
  <si>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</si>
  <si>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</si>
  <si>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</si>
  <si>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</si>
  <si>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</si>
  <si>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</si>
  <si>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</si>
  <si>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</si>
  <si>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</si>
  <si>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</si>
  <si>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</si>
  <si>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</si>
  <si>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</si>
  <si>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</si>
  <si>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</si>
  <si>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</si>
  <si>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</si>
  <si>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</si>
  <si>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</si>
  <si>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</si>
  <si>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</si>
  <si>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</si>
  <si>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</si>
  <si>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</si>
  <si>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</si>
  <si>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</si>
  <si>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</si>
  <si>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</si>
  <si>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</si>
  <si>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</si>
  <si>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</si>
  <si>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</si>
  <si>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</si>
  <si>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</si>
  <si>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</si>
  <si>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</si>
  <si>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</si>
  <si>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</si>
  <si>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</si>
  <si>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</si>
  <si>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</si>
  <si>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</si>
  <si>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</si>
  <si>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</si>
  <si>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</si>
  <si>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</si>
  <si>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</si>
  <si>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</si>
  <si>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</si>
  <si>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</si>
  <si>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</si>
  <si>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</si>
  <si>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</si>
  <si>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</si>
  <si>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</si>
  <si>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</si>
  <si>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</si>
  <si>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</si>
  <si>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</si>
  <si>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</si>
  <si>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</si>
  <si>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</si>
  <si>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</si>
  <si>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</si>
  <si>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</si>
  <si>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</si>
  <si>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</si>
  <si>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</si>
  <si>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</si>
  <si>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</si>
  <si>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</si>
  <si>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</si>
  <si>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</si>
  <si>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</si>
  <si>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</si>
  <si>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</si>
  <si>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</si>
  <si>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</si>
  <si>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</si>
  <si>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</si>
  <si>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</si>
  <si>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</si>
  <si>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</si>
  <si>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</si>
  <si>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</si>
  <si>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</si>
  <si>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</si>
  <si>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</si>
  <si>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</si>
  <si>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</si>
  <si>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</si>
  <si>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</si>
  <si>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</si>
  <si>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</si>
  <si>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</si>
  <si>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</si>
  <si>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</si>
  <si>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</si>
  <si>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</si>
  <si>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</si>
  <si>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</si>
  <si>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</si>
  <si>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</si>
  <si>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</si>
  <si>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</si>
  <si>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</si>
  <si>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</si>
  <si>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</si>
  <si>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</si>
  <si>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</si>
  <si>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</si>
  <si>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</si>
  <si>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</si>
  <si>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</si>
  <si>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</si>
  <si>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</si>
  <si>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</si>
  <si>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</si>
  <si>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</si>
  <si>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</si>
  <si>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</si>
  <si>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</si>
  <si>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</si>
  <si>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</si>
  <si>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</si>
  <si>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</si>
  <si>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</si>
  <si>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</si>
  <si>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</si>
  <si>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</si>
  <si>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</si>
  <si>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</si>
  <si>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</si>
  <si>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</si>
  <si>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</si>
  <si>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</si>
  <si>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</si>
  <si>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</si>
  <si>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</si>
  <si>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</si>
  <si>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</si>
  <si>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</si>
  <si>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</si>
  <si>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</si>
  <si>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</si>
  <si>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</si>
  <si>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</si>
  <si>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</si>
  <si>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</si>
  <si>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</si>
  <si>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</si>
  <si>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</si>
  <si>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</si>
  <si>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</si>
  <si>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</si>
  <si>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</si>
  <si>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</si>
  <si>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</si>
  <si>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</si>
  <si>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</si>
  <si>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</si>
  <si>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</si>
  <si>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</si>
  <si>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</si>
  <si>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</si>
  <si>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</si>
  <si>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</si>
  <si>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</si>
  <si>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</si>
  <si>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</si>
  <si>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</si>
  <si>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</si>
  <si>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</si>
  <si>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</si>
  <si>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</si>
  <si>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</si>
  <si>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</si>
  <si>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</si>
  <si>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</si>
  <si>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</si>
  <si>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</si>
  <si>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</si>
  <si>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</si>
  <si>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</si>
  <si>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</si>
  <si>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</si>
  <si>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</si>
  <si>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</si>
  <si>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</si>
  <si>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</si>
  <si>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</si>
  <si>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</si>
  <si>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</si>
  <si>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</si>
  <si>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</si>
  <si>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</si>
  <si>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</si>
  <si>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</si>
  <si>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</si>
  <si>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</si>
  <si>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</si>
  <si>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</si>
  <si>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</si>
  <si>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</si>
  <si>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</si>
  <si>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</si>
  <si>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</si>
  <si>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</si>
  <si>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</si>
  <si>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</si>
  <si>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</si>
  <si>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</si>
  <si>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</si>
  <si>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</si>
  <si>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</si>
  <si>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</si>
  <si>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</si>
  <si>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</si>
  <si>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</si>
  <si>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</si>
  <si>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</si>
  <si>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</si>
  <si>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</si>
  <si>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</si>
  <si>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</si>
  <si>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</si>
  <si>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</si>
  <si>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</si>
  <si>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</si>
  <si>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</si>
  <si>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</si>
  <si>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</si>
  <si>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</si>
  <si>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</si>
  <si>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</si>
  <si>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</si>
  <si>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</si>
  <si>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</si>
  <si>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</si>
  <si>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</si>
  <si>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</si>
  <si>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</si>
  <si>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</si>
  <si>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</si>
  <si>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</si>
  <si>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</si>
  <si>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</si>
  <si>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</si>
  <si>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</si>
  <si>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</si>
  <si>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</si>
  <si>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</si>
  <si>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</si>
  <si>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</si>
  <si>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</si>
  <si>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</si>
  <si>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</si>
  <si>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</si>
  <si>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</si>
  <si>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</si>
  <si>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</si>
  <si>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</si>
  <si>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</si>
  <si>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</si>
  <si>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</si>
  <si>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</si>
  <si>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</si>
  <si>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</si>
  <si>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</si>
  <si>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</si>
  <si>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</si>
  <si>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</si>
  <si>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</si>
  <si>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</si>
  <si>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</si>
  <si>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</si>
  <si>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</si>
  <si>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</si>
  <si>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</si>
  <si>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</si>
  <si>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</si>
  <si>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</si>
  <si>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</si>
  <si>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</si>
  <si>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</si>
  <si>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</si>
  <si>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</si>
  <si>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</si>
  <si>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</si>
  <si>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</si>
  <si>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</si>
  <si>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</si>
  <si>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</si>
  <si>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</si>
  <si>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</si>
  <si>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</si>
  <si>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</si>
  <si>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</si>
  <si>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</si>
  <si>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</si>
  <si>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</si>
  <si>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</si>
  <si>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</si>
  <si>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</si>
  <si>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</si>
  <si>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</si>
  <si>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</si>
  <si>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</si>
  <si>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</si>
  <si>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</si>
  <si>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</si>
  <si>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</si>
  <si>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</si>
  <si>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</si>
  <si>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</si>
  <si>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</si>
  <si>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</si>
  <si>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</si>
  <si>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</si>
  <si>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</si>
  <si>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</si>
  <si>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</si>
  <si>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</si>
  <si>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</si>
  <si>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</si>
  <si>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</si>
  <si>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</si>
  <si>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</si>
  <si>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</si>
  <si>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</si>
  <si>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</si>
  <si>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</si>
  <si>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</si>
  <si>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</si>
  <si>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</si>
  <si>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</si>
  <si>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</si>
  <si>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</si>
  <si>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</si>
  <si>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</si>
  <si>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</si>
  <si>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</si>
  <si>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</si>
  <si>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</si>
  <si>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</si>
  <si>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</si>
  <si>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</si>
  <si>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</si>
  <si>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</si>
  <si>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</si>
  <si>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</si>
  <si>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</si>
  <si>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</si>
  <si>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</si>
  <si>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</si>
  <si>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</si>
  <si>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</si>
  <si>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</si>
  <si>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</si>
  <si>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</si>
  <si>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</si>
  <si>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</si>
  <si>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</si>
  <si>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</si>
  <si>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</si>
  <si>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</si>
  <si>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</si>
  <si>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</si>
  <si>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</si>
  <si>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</si>
  <si>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</si>
  <si>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</si>
  <si>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</si>
  <si>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</si>
  <si>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</si>
  <si>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</si>
  <si>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</si>
  <si>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</si>
  <si>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</si>
  <si>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</si>
  <si>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</si>
  <si>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</si>
  <si>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</si>
  <si>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</si>
  <si>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</si>
  <si>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</si>
  <si>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</si>
  <si>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</si>
  <si>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</si>
  <si>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</si>
  <si>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</si>
  <si>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</si>
  <si>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</si>
  <si>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</si>
  <si>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</si>
  <si>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</si>
  <si>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</si>
  <si>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</si>
  <si>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</si>
  <si>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</si>
  <si>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</si>
  <si>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</si>
  <si>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</si>
  <si>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</si>
  <si>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</si>
  <si>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</si>
  <si>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</si>
  <si>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</si>
  <si>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</si>
  <si>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</si>
  <si>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</si>
  <si>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</si>
  <si>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</si>
  <si>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</si>
  <si>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</si>
  <si>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</si>
  <si>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</si>
  <si>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</si>
  <si>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</si>
  <si>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</si>
  <si>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</si>
  <si>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</si>
  <si>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</si>
  <si>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</si>
  <si>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</si>
  <si>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</si>
  <si>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</si>
  <si>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</si>
  <si>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</si>
  <si>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</si>
  <si>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</si>
  <si>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</si>
  <si>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</si>
  <si>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</si>
  <si>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</si>
  <si>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</si>
  <si>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</si>
  <si>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</si>
  <si>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</si>
  <si>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</si>
  <si>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</si>
  <si>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</si>
  <si>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</si>
  <si>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</si>
  <si>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</si>
  <si>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</si>
  <si>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</si>
  <si>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</si>
  <si>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</si>
  <si>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</si>
  <si>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</si>
  <si>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</si>
  <si>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</si>
  <si>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</si>
  <si>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</si>
  <si>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</si>
  <si>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</si>
  <si>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</si>
  <si>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</si>
  <si>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</si>
  <si>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</si>
  <si>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</si>
  <si>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</si>
  <si>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</si>
  <si>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</si>
  <si>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</si>
  <si>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</si>
  <si>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</si>
  <si>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</si>
  <si>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</si>
  <si>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</si>
  <si>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</si>
  <si>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</si>
  <si>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</si>
  <si>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</si>
  <si>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</si>
  <si>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</si>
  <si>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</si>
  <si>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</si>
  <si>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</si>
  <si>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</si>
  <si>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</si>
  <si>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</si>
  <si>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</si>
  <si>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</si>
  <si>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</si>
  <si>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</si>
  <si>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</si>
  <si>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</si>
  <si>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</si>
  <si>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</si>
  <si>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</si>
  <si>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</si>
  <si>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</si>
  <si>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</si>
  <si>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</si>
  <si>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</si>
  <si>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</si>
  <si>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</si>
  <si>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</si>
  <si>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</si>
  <si>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</si>
  <si>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</si>
  <si>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</si>
  <si>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</si>
  <si>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</si>
  <si>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</si>
  <si>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</si>
  <si>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</si>
  <si>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</si>
  <si>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</si>
  <si>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</si>
  <si>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</si>
  <si>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</si>
  <si>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</si>
  <si>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</si>
  <si>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</si>
  <si>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</si>
  <si>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</si>
  <si>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</si>
  <si>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</si>
  <si>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</si>
  <si>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</si>
  <si>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</si>
  <si>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</si>
  <si>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</si>
  <si>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</si>
  <si>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</si>
  <si>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</si>
  <si>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</si>
  <si>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</si>
  <si>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</si>
  <si>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</si>
  <si>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</si>
  <si>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</si>
  <si>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</si>
  <si>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</si>
  <si>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</si>
  <si>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</si>
  <si>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</si>
  <si>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</si>
  <si>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</si>
  <si>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</si>
  <si>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</si>
  <si>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</si>
  <si>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</si>
  <si>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</si>
  <si>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</si>
  <si>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</si>
  <si>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</si>
  <si>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</si>
  <si>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</si>
  <si>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</si>
  <si>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</si>
  <si>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</si>
  <si>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</si>
  <si>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</si>
  <si>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</si>
  <si>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</si>
  <si>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</si>
  <si>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</si>
  <si>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</si>
  <si>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</si>
  <si>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</si>
  <si>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</si>
  <si>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</si>
  <si>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</si>
  <si>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</si>
  <si>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</si>
  <si>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</si>
  <si>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</si>
  <si>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</si>
  <si>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</si>
  <si>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</si>
  <si>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</si>
  <si>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</si>
  <si>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</si>
  <si>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</si>
  <si>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</si>
  <si>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</si>
  <si>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</si>
  <si>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</si>
  <si>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</si>
  <si>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</si>
  <si>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</si>
  <si>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</si>
  <si>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</si>
  <si>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</si>
  <si>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</si>
  <si>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</si>
  <si>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</si>
  <si>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</si>
  <si>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</si>
  <si>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</si>
  <si>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</si>
  <si>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</si>
  <si>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</si>
  <si>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</si>
  <si>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</si>
  <si>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</si>
  <si>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</si>
  <si>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</si>
  <si>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</si>
  <si>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</si>
  <si>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</si>
  <si>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</si>
  <si>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</si>
  <si>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</si>
  <si>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</si>
  <si>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</si>
  <si>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</si>
  <si>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</si>
  <si>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</si>
  <si>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</si>
  <si>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</si>
  <si>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</si>
  <si>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</si>
  <si>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</si>
  <si>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</si>
  <si>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</si>
  <si>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</si>
  <si>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</si>
  <si>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</si>
  <si>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</si>
  <si>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</si>
  <si>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</si>
  <si>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</si>
  <si>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</si>
  <si>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</si>
  <si>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</si>
  <si>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</si>
  <si>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</si>
  <si>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</si>
  <si>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</si>
  <si>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</si>
  <si>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</si>
  <si>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</si>
  <si>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</si>
  <si>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</si>
  <si>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</si>
  <si>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</si>
  <si>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</si>
  <si>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</si>
  <si>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</si>
  <si>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</si>
  <si>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</si>
  <si>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</si>
  <si>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</si>
  <si>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</si>
  <si>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</si>
  <si>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</si>
  <si>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</si>
  <si>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</si>
  <si>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</si>
  <si>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</si>
  <si>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</si>
  <si>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</si>
  <si>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</si>
  <si>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</si>
  <si>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</si>
  <si>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</si>
  <si>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</si>
  <si>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</si>
  <si>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</si>
  <si>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</si>
  <si>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</si>
  <si>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</si>
  <si>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</si>
  <si>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</si>
  <si>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</si>
  <si>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</si>
  <si>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</si>
  <si>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</si>
  <si>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</si>
  <si>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</si>
  <si>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</si>
  <si>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</si>
  <si>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</si>
  <si>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</si>
  <si>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</si>
  <si>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</si>
  <si>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</si>
  <si>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</si>
  <si>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</si>
  <si>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</si>
  <si>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</si>
  <si>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</si>
  <si>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</si>
  <si>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</si>
  <si>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</si>
  <si>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</si>
  <si>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</si>
  <si>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</si>
  <si>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</si>
  <si>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</si>
  <si>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</si>
  <si>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</si>
  <si>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</si>
  <si>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</si>
  <si>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</si>
  <si>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</si>
  <si>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</si>
  <si>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</si>
  <si>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</si>
  <si>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</si>
  <si>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</si>
  <si>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</si>
  <si>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</si>
  <si>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</si>
  <si>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</si>
  <si>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</si>
  <si>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</si>
  <si>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</si>
  <si>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</si>
  <si>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</si>
  <si>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</si>
  <si>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</si>
  <si>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</si>
  <si>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</si>
  <si>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</si>
  <si>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</si>
  <si>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</si>
  <si>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</si>
  <si>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</si>
  <si>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</si>
  <si>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</si>
  <si>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</si>
  <si>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</si>
  <si>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</si>
  <si>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</si>
  <si>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</si>
  <si>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</si>
  <si>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</si>
  <si>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</si>
  <si>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</si>
  <si>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</si>
  <si>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</si>
  <si>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</si>
  <si>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</si>
  <si>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</si>
  <si>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</si>
  <si>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</si>
  <si>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</si>
  <si>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</si>
  <si>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</si>
  <si>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</si>
  <si>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</si>
  <si>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</si>
  <si>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</si>
  <si>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</si>
  <si>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</si>
  <si>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</si>
  <si>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</si>
  <si>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</si>
  <si>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</si>
  <si>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</si>
  <si>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</si>
  <si>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</si>
  <si>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</si>
  <si>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</si>
  <si>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</si>
  <si>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</si>
  <si>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</si>
  <si>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</si>
  <si>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</si>
  <si>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</si>
  <si>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</si>
  <si>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</si>
  <si>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</si>
  <si>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</si>
  <si>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</si>
  <si>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</si>
  <si>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</si>
  <si>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</si>
  <si>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</si>
  <si>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</si>
  <si>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</si>
  <si>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</si>
  <si>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</si>
  <si>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</si>
  <si>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</si>
  <si>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</si>
  <si>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</si>
  <si>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</si>
  <si>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</si>
  <si>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</si>
  <si>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</si>
  <si>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</si>
  <si>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</si>
  <si>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</si>
  <si>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</si>
  <si>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</si>
  <si>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</si>
  <si>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</si>
  <si>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</si>
  <si>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</si>
  <si>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</si>
  <si>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</si>
  <si>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</si>
  <si>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</si>
  <si>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</si>
  <si>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</si>
  <si>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</si>
  <si>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</si>
  <si>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</si>
  <si>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</si>
  <si>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</si>
  <si>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</si>
  <si>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</si>
  <si>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</si>
  <si>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</si>
  <si>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</si>
  <si>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</si>
  <si>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</si>
  <si>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</si>
  <si>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</si>
  <si>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</si>
  <si>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</si>
  <si>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</si>
  <si>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</si>
  <si>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</si>
  <si>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</si>
  <si>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</si>
  <si>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</si>
  <si>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</si>
  <si>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</si>
  <si>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</si>
  <si>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</si>
  <si>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</si>
  <si>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</si>
  <si>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</si>
  <si>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</si>
  <si>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</si>
  <si>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</si>
  <si>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</si>
  <si>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</si>
  <si>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</si>
  <si>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</si>
  <si>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</si>
  <si>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</si>
  <si>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</si>
  <si>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</si>
  <si>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</si>
  <si>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</si>
  <si>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</si>
  <si>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</si>
  <si>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</si>
  <si>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</si>
  <si>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</si>
  <si>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</si>
  <si>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</si>
  <si>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</si>
  <si>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</si>
  <si>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Experiment Summary — Control vs Treatment</t>
  </si>
  <si>
    <t xml:space="preserve">Onboarding &amp; Activation Campaign Experiment</t>
  </si>
  <si>
    <t xml:space="preserve">Metric</t>
  </si>
  <si>
    <t xml:space="preserve">Required Calculation</t>
  </si>
  <si>
    <t xml:space="preserve">Abs. Difference</t>
  </si>
  <si>
    <t xml:space="preserve">Relative Lift</t>
  </si>
  <si>
    <t xml:space="preserve">User count</t>
  </si>
  <si>
    <t xml:space="preserve">Number of users in each group</t>
  </si>
  <si>
    <t xml:space="preserve">Landing page visit rate</t>
  </si>
  <si>
    <t xml:space="preserve">Visited landing page / total users</t>
  </si>
  <si>
    <t xml:space="preserve">Trial start rate</t>
  </si>
  <si>
    <t xml:space="preserve">Started trial / total users</t>
  </si>
  <si>
    <t xml:space="preserve">Onboarding completion rate</t>
  </si>
  <si>
    <t xml:space="preserve">Completed onboarding / total users</t>
  </si>
  <si>
    <t xml:space="preserve">Paid conversion rate  (NORTH STAR)</t>
  </si>
  <si>
    <t xml:space="preserve">Converted to paid / total users</t>
  </si>
  <si>
    <t xml:space="preserve">Average revenue per user</t>
  </si>
  <si>
    <t xml:space="preserve">Total revenue / total users</t>
  </si>
  <si>
    <t xml:space="preserve">Average revenue per converted user</t>
  </si>
  <si>
    <t xml:space="preserve">Revenue / converted users</t>
  </si>
  <si>
    <t xml:space="preserve">Refund rate</t>
  </si>
  <si>
    <t xml:space="preserve">Refund requests / total users</t>
  </si>
  <si>
    <t xml:space="preserve">Support ticket rate</t>
  </si>
  <si>
    <t xml:space="preserve">Users with support tickets / total users</t>
  </si>
  <si>
    <t xml:space="preserve">Average engagement score</t>
  </si>
  <si>
    <t xml:space="preserve">Average score by group</t>
  </si>
  <si>
    <t xml:space="preserve">Average days to convert</t>
  </si>
  <si>
    <t xml:space="preserve">Average days for users who converted</t>
  </si>
  <si>
    <t xml:space="preserve">Notes:</t>
  </si>
  <si>
    <t xml:space="preserve">• "Support ticket rate" = share of users with 1+ support ticket (not average ticket count), consistent with "Users with support tickets" wording in the spec.</t>
  </si>
  <si>
    <t xml:space="preserve">• "Average days to convert" is computed only over users who converted (days_to_convert is undefined for non-converters).</t>
  </si>
  <si>
    <t xml:space="preserve">• All figures are formulas referencing the Cleaned_Data sheet in this workbook and will recalculate if source data changes.</t>
  </si>
  <si>
    <t xml:space="preserve">Segment-Level Analysis — Control vs Treatment</t>
  </si>
  <si>
    <t xml:space="preserve">Metrics analyzed by segment: Paid conversion rate, Support ticket rate, Average engagement score, Refund rate</t>
  </si>
  <si>
    <t xml:space="preserve">By Region</t>
  </si>
  <si>
    <t xml:space="preserve">Segment Value</t>
  </si>
  <si>
    <t xml:space="preserve">Control n</t>
  </si>
  <si>
    <t xml:space="preserve">Treatment n</t>
  </si>
  <si>
    <t xml:space="preserve">Control Conv. Rate</t>
  </si>
  <si>
    <t xml:space="preserve">Treatment Conv. Rate</t>
  </si>
  <si>
    <t xml:space="preserve">Control Support Tkt Rate</t>
  </si>
  <si>
    <t xml:space="preserve">Treatment Support Tkt Rate</t>
  </si>
  <si>
    <t xml:space="preserve">By Device Type</t>
  </si>
  <si>
    <t xml:space="preserve">By Traffic Source</t>
  </si>
  <si>
    <t xml:space="preserve">By Plan Type</t>
  </si>
  <si>
    <t xml:space="preserve">By Region — Engagement Score &amp; Refund Rate (additional guardrail view)</t>
  </si>
  <si>
    <t xml:space="preserve">Region</t>
  </si>
  <si>
    <t xml:space="preserve">Control Avg. Engagement</t>
  </si>
  <si>
    <t xml:space="preserve">Treatment Avg. Engagement</t>
  </si>
  <si>
    <t xml:space="preserve">Control Refund Rate</t>
  </si>
  <si>
    <t xml:space="preserve">Treatment Refund Rate</t>
  </si>
  <si>
    <t xml:space="preserve">Hypothesis Test — Two-Proportion Z-Test on Paid Conversion Rate</t>
  </si>
  <si>
    <t xml:space="preserve">Primary metric: Paid conversion rate (North Star)</t>
  </si>
  <si>
    <t xml:space="preserve">1. Test Setup</t>
  </si>
  <si>
    <t xml:space="preserve">Test type</t>
  </si>
  <si>
    <t xml:space="preserve">Two-proportion z-test (one-tailed)</t>
  </si>
  <si>
    <t xml:space="preserve">Metric tested</t>
  </si>
  <si>
    <t xml:space="preserve">Paid conversion rate (converted_to_paid)</t>
  </si>
  <si>
    <t xml:space="preserve">H0 (null)</t>
  </si>
  <si>
    <t xml:space="preserve">p_treatment = p_control</t>
  </si>
  <si>
    <t xml:space="preserve">H1 (alternate)</t>
  </si>
  <si>
    <t xml:space="preserve">p_treatment &gt; p_control</t>
  </si>
  <si>
    <t xml:space="preserve">Significance level (alpha)</t>
  </si>
  <si>
    <t xml:space="preserve">Input — change to re-run the test at a different threshold</t>
  </si>
  <si>
    <t xml:space="preserve">2. Inputs (from Cleaned_Data)</t>
  </si>
  <si>
    <t xml:space="preserve">n (Control)</t>
  </si>
  <si>
    <t xml:space="preserve">n (Treatment)</t>
  </si>
  <si>
    <t xml:space="preserve">Conversions (Control)</t>
  </si>
  <si>
    <t xml:space="preserve">Conversions (Treatment)</t>
  </si>
  <si>
    <t xml:space="preserve">3. Calculation</t>
  </si>
  <si>
    <t xml:space="preserve">p1 = Control conversion rate</t>
  </si>
  <si>
    <t xml:space="preserve">p2 = Treatment conversion rate</t>
  </si>
  <si>
    <t xml:space="preserve">Pooled proportion (p_pool)</t>
  </si>
  <si>
    <t xml:space="preserve">Standard error (SE)</t>
  </si>
  <si>
    <t xml:space="preserve">Z-statistic</t>
  </si>
  <si>
    <t xml:space="preserve">P-value (one-tailed)</t>
  </si>
  <si>
    <t xml:space="preserve">P-value (two-tailed, reference)</t>
  </si>
  <si>
    <t xml:space="preserve">Observed difference (p2 - p1)</t>
  </si>
  <si>
    <t xml:space="preserve">95% CI lower bound</t>
  </si>
  <si>
    <t xml:space="preserve">95% CI upper bound</t>
  </si>
  <si>
    <t xml:space="preserve">Relative lift</t>
  </si>
  <si>
    <t xml:space="preserve">4. Decision &amp; Interpretation</t>
  </si>
  <si>
    <t xml:space="preserve">Decision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</si>
</sst>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-mm\-dd"/>
    <numFmt numFmtId="166" formatCode="#,##0"/>
    <numFmt numFmtId="167" formatCode="\+0.0%;\-0.0%"/>
    <numFmt numFmtId="168" formatCode="0.0%"/>
    <numFmt numFmtId="169" formatCode="\$#,##0.00"/>
    <numFmt numFmtId="170" formatCode="0.00%"/>
    <numFmt numFmtId="171" formatCode="0.0"/>
    <numFmt numFmtId="172" formatCode="0%"/>
    <numFmt numFmtId="173" formatCode="0.0000"/>
    <numFmt numFmtId="174" formatCode="0.000"/>
    <numFmt numFmtId="175" formatCode="\+0.00%;\-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.5"/>
      <name val="Arial"/>
      <family val="0"/>
      <charset val="1"/>
    </font>
    <font>
      <sz val="10.5"/>
      <name val="Arial"/>
      <family val="0"/>
      <charset val="1"/>
    </font>
    <font>
      <sz val="10.5"/>
      <color rgb="FF0000FF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9E2F3"/>
        <bgColor rgb="FFD9EAD3"/>
      </patternFill>
    </fill>
    <fill>
      <patternFill patternType="solid">
        <fgColor rgb="FFD9EAD3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Data" displayName="CleanedData" ref="A1:P1401" headerRowCount="1" totalsRowCount="0" totalsRowShown="0">
  <autoFilter ref="A1:P1401"/>
  <tableColumns count="16">
    <tableColumn id="1" name="user_id"/>
    <tableColumn id="2" name="signup_date"/>
    <tableColumn id="3" name="experiment_group"/>
    <tableColumn id="4" name="region"/>
    <tableColumn id="5" name="device_type"/>
    <tableColumn id="6" name="traffic_source"/>
    <tableColumn id="7" name="plan_type"/>
    <tableColumn id="8" name="visited_landing_page"/>
    <tableColumn id="9" name="started_trial"/>
    <tableColumn id="10" name="completed_onboarding"/>
    <tableColumn id="11" name="converted_to_paid"/>
    <tableColumn id="12" name="revenue_30d"/>
    <tableColumn id="13" name="support_tickets_30d"/>
    <tableColumn id="14" name="refund_requested"/>
    <tableColumn id="15" name="days_to_convert"/>
    <tableColumn id="16" name="engagement_scor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5"/>
    <col collapsed="false" customWidth="true" hidden="false" outlineLevel="0" max="10" min="10" style="1" width="22"/>
    <col collapsed="false" customWidth="true" hidden="false" outlineLevel="0" max="11" min="11" style="1" width="19"/>
    <col collapsed="false" customWidth="true" hidden="false" outlineLevel="0" max="12" min="12" style="1" width="14"/>
    <col collapsed="false" customWidth="true" hidden="false" outlineLevel="0" max="13" min="13" style="1" width="21"/>
    <col collapsed="false" customWidth="true" hidden="false" outlineLevel="0" max="14" min="14" style="1" width="18"/>
    <col collapsed="false" customWidth="true" hidden="false" outlineLevel="0" max="15" min="15" style="1" width="17"/>
    <col collapsed="false" customWidth="true" hidden="false" outlineLevel="0" max="16" min="16" style="1" width="1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s">
        <v>16</v>
      </c>
      <c r="B2" s="4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/>
      <c r="P2" s="3" t="n">
        <v>45.7</v>
      </c>
    </row>
    <row r="3" customFormat="false" ht="15" hidden="false" customHeight="false" outlineLevel="0" collapsed="false">
      <c r="A3" s="3" t="s">
        <v>22</v>
      </c>
      <c r="B3" s="4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/>
      <c r="P3" s="3" t="n">
        <v>48.6</v>
      </c>
    </row>
    <row r="4" customFormat="false" ht="15" hidden="false" customHeight="false" outlineLevel="0" collapsed="false">
      <c r="A4" s="3" t="s">
        <v>27</v>
      </c>
      <c r="B4" s="4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/>
      <c r="P4" s="3" t="n">
        <v>35.4</v>
      </c>
    </row>
    <row r="5" customFormat="false" ht="15" hidden="false" customHeight="false" outlineLevel="0" collapsed="false">
      <c r="A5" s="3" t="s">
        <v>31</v>
      </c>
      <c r="B5" s="4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3" t="n">
        <v>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/>
      <c r="P5" s="3" t="n">
        <v>64.6</v>
      </c>
    </row>
    <row r="6" customFormat="false" ht="15" hidden="false" customHeight="false" outlineLevel="0" collapsed="false">
      <c r="A6" s="3" t="s">
        <v>33</v>
      </c>
      <c r="B6" s="4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/>
      <c r="P6" s="3" t="n">
        <v>66.6</v>
      </c>
    </row>
    <row r="7" customFormat="false" ht="15" hidden="false" customHeight="false" outlineLevel="0" collapsed="false">
      <c r="A7" s="3" t="s">
        <v>35</v>
      </c>
      <c r="B7" s="4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/>
      <c r="P7" s="3" t="n">
        <v>40.8</v>
      </c>
    </row>
    <row r="8" customFormat="false" ht="15" hidden="false" customHeight="false" outlineLevel="0" collapsed="false">
      <c r="A8" s="3" t="s">
        <v>36</v>
      </c>
      <c r="B8" s="4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/>
      <c r="P8" s="3" t="n">
        <v>57.1</v>
      </c>
    </row>
    <row r="9" customFormat="false" ht="15" hidden="false" customHeight="false" outlineLevel="0" collapsed="false">
      <c r="A9" s="3" t="s">
        <v>37</v>
      </c>
      <c r="B9" s="4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/>
      <c r="P9" s="3" t="n">
        <v>36.4</v>
      </c>
    </row>
    <row r="10" customFormat="false" ht="15" hidden="false" customHeight="false" outlineLevel="0" collapsed="false">
      <c r="A10" s="3" t="s">
        <v>38</v>
      </c>
      <c r="B10" s="4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/>
      <c r="P10" s="3" t="n">
        <v>55.4</v>
      </c>
    </row>
    <row r="11" customFormat="false" ht="15" hidden="false" customHeight="false" outlineLevel="0" collapsed="false">
      <c r="A11" s="3" t="s">
        <v>40</v>
      </c>
      <c r="B11" s="4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/>
      <c r="P11" s="3" t="n">
        <v>57.3</v>
      </c>
    </row>
    <row r="12" customFormat="false" ht="15" hidden="false" customHeight="false" outlineLevel="0" collapsed="false">
      <c r="A12" s="3" t="s">
        <v>42</v>
      </c>
      <c r="B12" s="4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3" t="n">
        <v>1</v>
      </c>
      <c r="I12" s="3" t="n">
        <v>1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/>
      <c r="P12" s="3" t="n">
        <v>63.6</v>
      </c>
    </row>
    <row r="13" customFormat="false" ht="15" hidden="false" customHeight="false" outlineLevel="0" collapsed="false">
      <c r="A13" s="3" t="s">
        <v>43</v>
      </c>
      <c r="B13" s="4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0</v>
      </c>
      <c r="M13" s="3" t="n">
        <v>1</v>
      </c>
      <c r="N13" s="3" t="n">
        <v>0</v>
      </c>
      <c r="O13" s="3"/>
      <c r="P13" s="3" t="n">
        <v>80.4</v>
      </c>
    </row>
    <row r="14" customFormat="false" ht="15" hidden="false" customHeight="false" outlineLevel="0" collapsed="false">
      <c r="A14" s="3" t="s">
        <v>44</v>
      </c>
      <c r="B14" s="4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/>
      <c r="P14" s="3" t="n">
        <v>62.4</v>
      </c>
    </row>
    <row r="15" customFormat="false" ht="15" hidden="false" customHeight="false" outlineLevel="0" collapsed="false">
      <c r="A15" s="3" t="s">
        <v>45</v>
      </c>
      <c r="B15" s="4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/>
      <c r="P15" s="3" t="n">
        <v>82.4</v>
      </c>
    </row>
    <row r="16" customFormat="false" ht="15" hidden="false" customHeight="false" outlineLevel="0" collapsed="false">
      <c r="A16" s="3" t="s">
        <v>46</v>
      </c>
      <c r="B16" s="4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/>
      <c r="P16" s="3" t="n">
        <v>61.2</v>
      </c>
    </row>
    <row r="17" customFormat="false" ht="15" hidden="false" customHeight="false" outlineLevel="0" collapsed="false">
      <c r="A17" s="3" t="s">
        <v>47</v>
      </c>
      <c r="B17" s="4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/>
      <c r="P17" s="3" t="n">
        <v>68.9</v>
      </c>
    </row>
    <row r="18" customFormat="false" ht="15" hidden="false" customHeight="false" outlineLevel="0" collapsed="false">
      <c r="A18" s="3" t="s">
        <v>48</v>
      </c>
      <c r="B18" s="4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3" t="n">
        <v>1</v>
      </c>
      <c r="I18" s="3" t="n">
        <v>1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/>
      <c r="P18" s="3" t="n">
        <v>71.9</v>
      </c>
    </row>
    <row r="19" customFormat="false" ht="15" hidden="false" customHeight="false" outlineLevel="0" collapsed="false">
      <c r="A19" s="3" t="s">
        <v>49</v>
      </c>
      <c r="B19" s="4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/>
      <c r="P19" s="3" t="n">
        <v>50.5</v>
      </c>
    </row>
    <row r="20" customFormat="false" ht="15" hidden="false" customHeight="false" outlineLevel="0" collapsed="false">
      <c r="A20" s="3" t="s">
        <v>50</v>
      </c>
      <c r="B20" s="4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/>
      <c r="P20" s="3" t="n">
        <v>49.3</v>
      </c>
    </row>
    <row r="21" customFormat="false" ht="15" hidden="false" customHeight="false" outlineLevel="0" collapsed="false">
      <c r="A21" s="3" t="s">
        <v>51</v>
      </c>
      <c r="B21" s="4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</v>
      </c>
      <c r="N21" s="3" t="n">
        <v>0</v>
      </c>
      <c r="O21" s="3"/>
      <c r="P21" s="3" t="n">
        <v>60.9</v>
      </c>
    </row>
    <row r="22" customFormat="false" ht="15" hidden="false" customHeight="false" outlineLevel="0" collapsed="false">
      <c r="A22" s="3" t="s">
        <v>52</v>
      </c>
      <c r="B22" s="4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/>
      <c r="P22" s="3" t="n">
        <v>62.7</v>
      </c>
    </row>
    <row r="23" customFormat="false" ht="15" hidden="false" customHeight="false" outlineLevel="0" collapsed="false">
      <c r="A23" s="3" t="s">
        <v>53</v>
      </c>
      <c r="B23" s="4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/>
      <c r="P23" s="3" t="n">
        <v>52.7</v>
      </c>
    </row>
    <row r="24" customFormat="false" ht="15" hidden="false" customHeight="false" outlineLevel="0" collapsed="false">
      <c r="A24" s="3" t="s">
        <v>54</v>
      </c>
      <c r="B24" s="4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/>
      <c r="P24" s="3" t="n">
        <v>54</v>
      </c>
    </row>
    <row r="25" customFormat="false" ht="15" hidden="false" customHeight="false" outlineLevel="0" collapsed="false">
      <c r="A25" s="3" t="s">
        <v>55</v>
      </c>
      <c r="B25" s="4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/>
      <c r="P25" s="3" t="n">
        <v>51.6</v>
      </c>
    </row>
    <row r="26" customFormat="false" ht="15" hidden="false" customHeight="false" outlineLevel="0" collapsed="false">
      <c r="A26" s="3" t="s">
        <v>56</v>
      </c>
      <c r="B26" s="4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</v>
      </c>
      <c r="N26" s="3" t="n">
        <v>0</v>
      </c>
      <c r="O26" s="3"/>
      <c r="P26" s="3" t="n">
        <v>66.9</v>
      </c>
    </row>
    <row r="27" customFormat="false" ht="15" hidden="false" customHeight="false" outlineLevel="0" collapsed="false">
      <c r="A27" s="3" t="s">
        <v>57</v>
      </c>
      <c r="B27" s="4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/>
      <c r="P27" s="3" t="n">
        <v>67.4</v>
      </c>
    </row>
    <row r="28" customFormat="false" ht="15" hidden="false" customHeight="false" outlineLevel="0" collapsed="false">
      <c r="A28" s="3" t="s">
        <v>58</v>
      </c>
      <c r="B28" s="4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/>
      <c r="P28" s="3" t="n">
        <v>58.8</v>
      </c>
    </row>
    <row r="29" customFormat="false" ht="15" hidden="false" customHeight="false" outlineLevel="0" collapsed="false">
      <c r="A29" s="3" t="s">
        <v>59</v>
      </c>
      <c r="B29" s="4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/>
      <c r="P29" s="3" t="n">
        <v>73.8</v>
      </c>
    </row>
    <row r="30" customFormat="false" ht="15" hidden="false" customHeight="false" outlineLevel="0" collapsed="false">
      <c r="A30" s="3" t="s">
        <v>60</v>
      </c>
      <c r="B30" s="4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/>
      <c r="P30" s="3" t="n">
        <v>60.1</v>
      </c>
    </row>
    <row r="31" customFormat="false" ht="15" hidden="false" customHeight="false" outlineLevel="0" collapsed="false">
      <c r="A31" s="3" t="s">
        <v>61</v>
      </c>
      <c r="B31" s="4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3" t="n">
        <v>1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/>
      <c r="P31" s="3" t="n">
        <v>41</v>
      </c>
    </row>
    <row r="32" customFormat="false" ht="15" hidden="false" customHeight="false" outlineLevel="0" collapsed="false">
      <c r="A32" s="3" t="s">
        <v>62</v>
      </c>
      <c r="B32" s="4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/>
      <c r="P32" s="3" t="n">
        <v>80.3</v>
      </c>
    </row>
    <row r="33" customFormat="false" ht="15" hidden="false" customHeight="false" outlineLevel="0" collapsed="false">
      <c r="A33" s="3" t="s">
        <v>63</v>
      </c>
      <c r="B33" s="4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/>
      <c r="P33" s="3" t="n">
        <v>67.6</v>
      </c>
    </row>
    <row r="34" customFormat="false" ht="15" hidden="false" customHeight="false" outlineLevel="0" collapsed="false">
      <c r="A34" s="3" t="s">
        <v>64</v>
      </c>
      <c r="B34" s="4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/>
      <c r="P34" s="3" t="n">
        <v>64</v>
      </c>
    </row>
    <row r="35" customFormat="false" ht="15" hidden="false" customHeight="false" outlineLevel="0" collapsed="false">
      <c r="A35" s="3" t="s">
        <v>65</v>
      </c>
      <c r="B35" s="4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3" t="n">
        <v>1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/>
      <c r="P35" s="3" t="n">
        <v>27.2</v>
      </c>
    </row>
    <row r="36" customFormat="false" ht="15" hidden="false" customHeight="false" outlineLevel="0" collapsed="false">
      <c r="A36" s="3" t="s">
        <v>66</v>
      </c>
      <c r="B36" s="4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/>
      <c r="P36" s="3" t="n">
        <v>85.4</v>
      </c>
    </row>
    <row r="37" customFormat="false" ht="15" hidden="false" customHeight="false" outlineLevel="0" collapsed="false">
      <c r="A37" s="3" t="s">
        <v>67</v>
      </c>
      <c r="B37" s="4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/>
      <c r="P37" s="3" t="n">
        <v>75.9</v>
      </c>
    </row>
    <row r="38" customFormat="false" ht="15" hidden="false" customHeight="false" outlineLevel="0" collapsed="false">
      <c r="A38" s="3" t="s">
        <v>68</v>
      </c>
      <c r="B38" s="4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</v>
      </c>
      <c r="N38" s="3" t="n">
        <v>0</v>
      </c>
      <c r="O38" s="3"/>
      <c r="P38" s="3" t="n">
        <v>34.8</v>
      </c>
    </row>
    <row r="39" customFormat="false" ht="15" hidden="false" customHeight="false" outlineLevel="0" collapsed="false">
      <c r="A39" s="3" t="s">
        <v>69</v>
      </c>
      <c r="B39" s="4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3" t="n">
        <v>1</v>
      </c>
      <c r="I39" s="3" t="n">
        <v>1</v>
      </c>
      <c r="J39" s="3" t="n">
        <v>1</v>
      </c>
      <c r="K39" s="3" t="n">
        <v>0</v>
      </c>
      <c r="L39" s="3" t="n">
        <v>0</v>
      </c>
      <c r="M39" s="3" t="n">
        <v>3</v>
      </c>
      <c r="N39" s="3" t="n">
        <v>0</v>
      </c>
      <c r="O39" s="3"/>
      <c r="P39" s="3" t="n">
        <v>48.9</v>
      </c>
    </row>
    <row r="40" customFormat="false" ht="15" hidden="false" customHeight="false" outlineLevel="0" collapsed="false">
      <c r="A40" s="3" t="s">
        <v>70</v>
      </c>
      <c r="B40" s="4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/>
      <c r="P40" s="3" t="n">
        <v>41.5</v>
      </c>
    </row>
    <row r="41" customFormat="false" ht="15" hidden="false" customHeight="false" outlineLevel="0" collapsed="false">
      <c r="A41" s="3" t="s">
        <v>71</v>
      </c>
      <c r="B41" s="4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/>
      <c r="P41" s="3" t="n">
        <v>51.5</v>
      </c>
    </row>
    <row r="42" customFormat="false" ht="15" hidden="false" customHeight="false" outlineLevel="0" collapsed="false">
      <c r="A42" s="3" t="s">
        <v>72</v>
      </c>
      <c r="B42" s="4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/>
      <c r="P42" s="3" t="n">
        <v>53.2</v>
      </c>
    </row>
    <row r="43" customFormat="false" ht="15" hidden="false" customHeight="false" outlineLevel="0" collapsed="false">
      <c r="A43" s="3" t="s">
        <v>73</v>
      </c>
      <c r="B43" s="4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/>
      <c r="P43" s="3" t="n">
        <v>55.6</v>
      </c>
    </row>
    <row r="44" customFormat="false" ht="15" hidden="false" customHeight="false" outlineLevel="0" collapsed="false">
      <c r="A44" s="3" t="s">
        <v>74</v>
      </c>
      <c r="B44" s="4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/>
      <c r="P44" s="3" t="n">
        <v>73</v>
      </c>
    </row>
    <row r="45" customFormat="false" ht="15" hidden="false" customHeight="false" outlineLevel="0" collapsed="false">
      <c r="A45" s="3" t="s">
        <v>75</v>
      </c>
      <c r="B45" s="4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3" t="n">
        <v>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/>
      <c r="P45" s="3" t="n">
        <v>65</v>
      </c>
    </row>
    <row r="46" customFormat="false" ht="15" hidden="false" customHeight="false" outlineLevel="0" collapsed="false">
      <c r="A46" s="3" t="s">
        <v>76</v>
      </c>
      <c r="B46" s="4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4</v>
      </c>
      <c r="N46" s="3" t="n">
        <v>0</v>
      </c>
      <c r="O46" s="3"/>
      <c r="P46" s="3" t="n">
        <v>56.3</v>
      </c>
    </row>
    <row r="47" customFormat="false" ht="15" hidden="false" customHeight="false" outlineLevel="0" collapsed="false">
      <c r="A47" s="3" t="s">
        <v>77</v>
      </c>
      <c r="B47" s="4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/>
      <c r="P47" s="3" t="n">
        <v>62.4</v>
      </c>
    </row>
    <row r="48" customFormat="false" ht="15" hidden="false" customHeight="false" outlineLevel="0" collapsed="false">
      <c r="A48" s="3" t="s">
        <v>78</v>
      </c>
      <c r="B48" s="4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3" t="n">
        <v>1</v>
      </c>
      <c r="I48" s="3" t="n">
        <v>1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/>
      <c r="P48" s="3" t="n">
        <v>58.1</v>
      </c>
    </row>
    <row r="49" customFormat="false" ht="15" hidden="false" customHeight="false" outlineLevel="0" collapsed="false">
      <c r="A49" s="3" t="s">
        <v>79</v>
      </c>
      <c r="B49" s="4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3" t="n">
        <v>1</v>
      </c>
      <c r="I49" s="3" t="n">
        <v>1</v>
      </c>
      <c r="J49" s="3" t="n">
        <v>1</v>
      </c>
      <c r="K49" s="3" t="n">
        <v>0</v>
      </c>
      <c r="L49" s="3" t="n">
        <v>0</v>
      </c>
      <c r="M49" s="3" t="n">
        <v>0</v>
      </c>
      <c r="N49" s="3" t="n">
        <v>0</v>
      </c>
      <c r="O49" s="3"/>
      <c r="P49" s="3" t="n">
        <v>80.8</v>
      </c>
    </row>
    <row r="50" customFormat="false" ht="15" hidden="false" customHeight="false" outlineLevel="0" collapsed="false">
      <c r="A50" s="3" t="s">
        <v>80</v>
      </c>
      <c r="B50" s="4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3" t="n">
        <v>1</v>
      </c>
      <c r="I50" s="3" t="n">
        <v>1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/>
      <c r="P50" s="3" t="n">
        <v>42.9</v>
      </c>
    </row>
    <row r="51" customFormat="false" ht="15" hidden="false" customHeight="false" outlineLevel="0" collapsed="false">
      <c r="A51" s="3" t="s">
        <v>81</v>
      </c>
      <c r="B51" s="4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3" t="n">
        <v>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/>
      <c r="P51" s="3" t="n">
        <v>52.7</v>
      </c>
    </row>
    <row r="52" customFormat="false" ht="15" hidden="false" customHeight="false" outlineLevel="0" collapsed="false">
      <c r="A52" s="3" t="s">
        <v>82</v>
      </c>
      <c r="B52" s="4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/>
      <c r="P52" s="3" t="n">
        <v>46.9</v>
      </c>
    </row>
    <row r="53" customFormat="false" ht="15" hidden="false" customHeight="false" outlineLevel="0" collapsed="false">
      <c r="A53" s="3" t="s">
        <v>83</v>
      </c>
      <c r="B53" s="4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/>
      <c r="P53" s="3" t="n">
        <v>63</v>
      </c>
    </row>
    <row r="54" customFormat="false" ht="15" hidden="false" customHeight="false" outlineLevel="0" collapsed="false">
      <c r="A54" s="3" t="s">
        <v>84</v>
      </c>
      <c r="B54" s="4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/>
      <c r="P54" s="3" t="n">
        <v>53.6</v>
      </c>
    </row>
    <row r="55" customFormat="false" ht="15" hidden="false" customHeight="false" outlineLevel="0" collapsed="false">
      <c r="A55" s="3" t="s">
        <v>85</v>
      </c>
      <c r="B55" s="4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/>
      <c r="P55" s="3" t="n">
        <v>49.6</v>
      </c>
    </row>
    <row r="56" customFormat="false" ht="15" hidden="false" customHeight="false" outlineLevel="0" collapsed="false">
      <c r="A56" s="3" t="s">
        <v>86</v>
      </c>
      <c r="B56" s="4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/>
      <c r="P56" s="3" t="n">
        <v>54</v>
      </c>
    </row>
    <row r="57" customFormat="false" ht="15" hidden="false" customHeight="false" outlineLevel="0" collapsed="false">
      <c r="A57" s="3" t="s">
        <v>87</v>
      </c>
      <c r="B57" s="4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3" t="n">
        <v>1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2</v>
      </c>
      <c r="N57" s="3" t="n">
        <v>0</v>
      </c>
      <c r="O57" s="3"/>
      <c r="P57" s="3" t="n">
        <v>50</v>
      </c>
    </row>
    <row r="58" customFormat="false" ht="15" hidden="false" customHeight="false" outlineLevel="0" collapsed="false">
      <c r="A58" s="3" t="s">
        <v>88</v>
      </c>
      <c r="B58" s="4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/>
      <c r="P58" s="3" t="n">
        <v>48.1</v>
      </c>
    </row>
    <row r="59" customFormat="false" ht="15" hidden="false" customHeight="false" outlineLevel="0" collapsed="false">
      <c r="A59" s="3" t="s">
        <v>89</v>
      </c>
      <c r="B59" s="4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/>
      <c r="P59" s="3" t="n">
        <v>49.6</v>
      </c>
    </row>
    <row r="60" customFormat="false" ht="15" hidden="false" customHeight="false" outlineLevel="0" collapsed="false">
      <c r="A60" s="3" t="s">
        <v>90</v>
      </c>
      <c r="B60" s="4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2</v>
      </c>
      <c r="N60" s="3" t="n">
        <v>0</v>
      </c>
      <c r="O60" s="3"/>
      <c r="P60" s="3" t="n">
        <v>48.9</v>
      </c>
    </row>
    <row r="61" customFormat="false" ht="15" hidden="false" customHeight="false" outlineLevel="0" collapsed="false">
      <c r="A61" s="3" t="s">
        <v>91</v>
      </c>
      <c r="B61" s="4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3" t="n">
        <v>1</v>
      </c>
      <c r="I61" s="3" t="n">
        <v>1</v>
      </c>
      <c r="J61" s="3" t="n">
        <v>1</v>
      </c>
      <c r="K61" s="3" t="n">
        <v>1</v>
      </c>
      <c r="L61" s="3" t="n">
        <v>240.42</v>
      </c>
      <c r="M61" s="3" t="n">
        <v>0</v>
      </c>
      <c r="N61" s="3" t="n">
        <v>0</v>
      </c>
      <c r="O61" s="3" t="n">
        <v>16</v>
      </c>
      <c r="P61" s="3" t="n">
        <v>56.5</v>
      </c>
    </row>
    <row r="62" customFormat="false" ht="15" hidden="false" customHeight="false" outlineLevel="0" collapsed="false">
      <c r="A62" s="3" t="s">
        <v>92</v>
      </c>
      <c r="B62" s="4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/>
      <c r="P62" s="3" t="n">
        <v>53.7</v>
      </c>
    </row>
    <row r="63" customFormat="false" ht="15" hidden="false" customHeight="false" outlineLevel="0" collapsed="false">
      <c r="A63" s="3" t="s">
        <v>93</v>
      </c>
      <c r="B63" s="4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/>
      <c r="P63" s="3" t="n">
        <v>62.2</v>
      </c>
    </row>
    <row r="64" customFormat="false" ht="15" hidden="false" customHeight="false" outlineLevel="0" collapsed="false">
      <c r="A64" s="3" t="s">
        <v>94</v>
      </c>
      <c r="B64" s="4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/>
      <c r="P64" s="3" t="n">
        <v>50.2</v>
      </c>
    </row>
    <row r="65" customFormat="false" ht="15" hidden="false" customHeight="false" outlineLevel="0" collapsed="false">
      <c r="A65" s="3" t="s">
        <v>95</v>
      </c>
      <c r="B65" s="4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/>
      <c r="P65" s="3" t="n">
        <v>74.3</v>
      </c>
    </row>
    <row r="66" customFormat="false" ht="15" hidden="false" customHeight="false" outlineLevel="0" collapsed="false">
      <c r="A66" s="3" t="s">
        <v>96</v>
      </c>
      <c r="B66" s="4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/>
      <c r="P66" s="3" t="n">
        <v>58</v>
      </c>
    </row>
    <row r="67" customFormat="false" ht="15" hidden="false" customHeight="false" outlineLevel="0" collapsed="false">
      <c r="A67" s="3" t="s">
        <v>97</v>
      </c>
      <c r="B67" s="4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/>
      <c r="P67" s="3" t="n">
        <v>46.7</v>
      </c>
    </row>
    <row r="68" customFormat="false" ht="15" hidden="false" customHeight="false" outlineLevel="0" collapsed="false">
      <c r="A68" s="3" t="s">
        <v>98</v>
      </c>
      <c r="B68" s="4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</v>
      </c>
      <c r="N68" s="3" t="n">
        <v>0</v>
      </c>
      <c r="O68" s="3"/>
      <c r="P68" s="3" t="n">
        <v>49.6</v>
      </c>
    </row>
    <row r="69" customFormat="false" ht="15" hidden="false" customHeight="false" outlineLevel="0" collapsed="false">
      <c r="A69" s="3" t="s">
        <v>99</v>
      </c>
      <c r="B69" s="4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/>
      <c r="P69" s="3" t="n">
        <v>60.4</v>
      </c>
    </row>
    <row r="70" customFormat="false" ht="15" hidden="false" customHeight="false" outlineLevel="0" collapsed="false">
      <c r="A70" s="3" t="s">
        <v>100</v>
      </c>
      <c r="B70" s="4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3" t="n">
        <v>1</v>
      </c>
      <c r="I70" s="3" t="n">
        <v>1</v>
      </c>
      <c r="J70" s="3" t="n">
        <v>1</v>
      </c>
      <c r="K70" s="3" t="n">
        <v>0</v>
      </c>
      <c r="L70" s="3" t="n">
        <v>0</v>
      </c>
      <c r="M70" s="3" t="n">
        <v>0</v>
      </c>
      <c r="N70" s="3" t="n">
        <v>0</v>
      </c>
      <c r="O70" s="3"/>
      <c r="P70" s="3" t="n">
        <v>55.3</v>
      </c>
    </row>
    <row r="71" customFormat="false" ht="15" hidden="false" customHeight="false" outlineLevel="0" collapsed="false">
      <c r="A71" s="3" t="s">
        <v>101</v>
      </c>
      <c r="B71" s="4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/>
      <c r="P71" s="3" t="n">
        <v>56.2</v>
      </c>
    </row>
    <row r="72" customFormat="false" ht="15" hidden="false" customHeight="false" outlineLevel="0" collapsed="false">
      <c r="A72" s="3" t="s">
        <v>102</v>
      </c>
      <c r="B72" s="4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/>
      <c r="P72" s="3" t="n">
        <v>29.4</v>
      </c>
    </row>
    <row r="73" customFormat="false" ht="15" hidden="false" customHeight="false" outlineLevel="0" collapsed="false">
      <c r="A73" s="3" t="s">
        <v>103</v>
      </c>
      <c r="B73" s="4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/>
      <c r="P73" s="3" t="n">
        <v>54.2</v>
      </c>
    </row>
    <row r="74" customFormat="false" ht="15" hidden="false" customHeight="false" outlineLevel="0" collapsed="false">
      <c r="A74" s="3" t="s">
        <v>104</v>
      </c>
      <c r="B74" s="4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/>
      <c r="P74" s="3" t="n">
        <v>46.4</v>
      </c>
    </row>
    <row r="75" customFormat="false" ht="15" hidden="false" customHeight="false" outlineLevel="0" collapsed="false">
      <c r="A75" s="3" t="s">
        <v>105</v>
      </c>
      <c r="B75" s="4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/>
      <c r="P75" s="3" t="n">
        <v>54.5</v>
      </c>
    </row>
    <row r="76" customFormat="false" ht="15" hidden="false" customHeight="false" outlineLevel="0" collapsed="false">
      <c r="A76" s="3" t="s">
        <v>106</v>
      </c>
      <c r="B76" s="4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/>
      <c r="P76" s="3" t="n">
        <v>58.5</v>
      </c>
    </row>
    <row r="77" customFormat="false" ht="15" hidden="false" customHeight="false" outlineLevel="0" collapsed="false">
      <c r="A77" s="3" t="s">
        <v>107</v>
      </c>
      <c r="B77" s="4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/>
      <c r="P77" s="3" t="n">
        <v>75.9</v>
      </c>
    </row>
    <row r="78" customFormat="false" ht="15" hidden="false" customHeight="false" outlineLevel="0" collapsed="false">
      <c r="A78" s="3" t="s">
        <v>108</v>
      </c>
      <c r="B78" s="4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</v>
      </c>
      <c r="N78" s="3" t="n">
        <v>0</v>
      </c>
      <c r="O78" s="3"/>
      <c r="P78" s="3" t="n">
        <v>84.9</v>
      </c>
    </row>
    <row r="79" customFormat="false" ht="15" hidden="false" customHeight="false" outlineLevel="0" collapsed="false">
      <c r="A79" s="3" t="s">
        <v>109</v>
      </c>
      <c r="B79" s="4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2</v>
      </c>
      <c r="N79" s="3" t="n">
        <v>0</v>
      </c>
      <c r="O79" s="3"/>
      <c r="P79" s="3" t="n">
        <v>48.4</v>
      </c>
    </row>
    <row r="80" customFormat="false" ht="15" hidden="false" customHeight="false" outlineLevel="0" collapsed="false">
      <c r="A80" s="3" t="s">
        <v>110</v>
      </c>
      <c r="B80" s="4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3" t="n">
        <v>1</v>
      </c>
      <c r="I80" s="3" t="n">
        <v>1</v>
      </c>
      <c r="J80" s="3" t="n">
        <v>1</v>
      </c>
      <c r="K80" s="3" t="n">
        <v>1</v>
      </c>
      <c r="L80" s="3" t="n">
        <v>457.51</v>
      </c>
      <c r="M80" s="3" t="n">
        <v>0</v>
      </c>
      <c r="N80" s="3" t="n">
        <v>0</v>
      </c>
      <c r="O80" s="3" t="n">
        <v>7</v>
      </c>
      <c r="P80" s="3" t="n">
        <v>38</v>
      </c>
    </row>
    <row r="81" customFormat="false" ht="15" hidden="false" customHeight="false" outlineLevel="0" collapsed="false">
      <c r="A81" s="3" t="s">
        <v>111</v>
      </c>
      <c r="B81" s="4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/>
      <c r="P81" s="3" t="n">
        <v>44.2</v>
      </c>
    </row>
    <row r="82" customFormat="false" ht="15" hidden="false" customHeight="false" outlineLevel="0" collapsed="false">
      <c r="A82" s="3" t="s">
        <v>112</v>
      </c>
      <c r="B82" s="4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3" t="n">
        <v>1</v>
      </c>
      <c r="I82" s="3" t="n">
        <v>1</v>
      </c>
      <c r="J82" s="3" t="n">
        <v>1</v>
      </c>
      <c r="K82" s="3" t="n">
        <v>0</v>
      </c>
      <c r="L82" s="3" t="n">
        <v>0</v>
      </c>
      <c r="M82" s="3" t="n">
        <v>0</v>
      </c>
      <c r="N82" s="3" t="n">
        <v>0</v>
      </c>
      <c r="O82" s="3"/>
      <c r="P82" s="3" t="n">
        <v>81.2</v>
      </c>
    </row>
    <row r="83" customFormat="false" ht="15" hidden="false" customHeight="false" outlineLevel="0" collapsed="false">
      <c r="A83" s="3" t="s">
        <v>113</v>
      </c>
      <c r="B83" s="4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3" t="n">
        <v>1</v>
      </c>
      <c r="I83" s="3" t="n">
        <v>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/>
      <c r="P83" s="3" t="n">
        <v>63.8</v>
      </c>
    </row>
    <row r="84" customFormat="false" ht="15" hidden="false" customHeight="false" outlineLevel="0" collapsed="false">
      <c r="A84" s="3" t="s">
        <v>114</v>
      </c>
      <c r="B84" s="4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/>
      <c r="P84" s="3" t="n">
        <v>64.7</v>
      </c>
    </row>
    <row r="85" customFormat="false" ht="15" hidden="false" customHeight="false" outlineLevel="0" collapsed="false">
      <c r="A85" s="3" t="s">
        <v>115</v>
      </c>
      <c r="B85" s="4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/>
      <c r="P85" s="3" t="n">
        <v>60.4</v>
      </c>
    </row>
    <row r="86" customFormat="false" ht="15" hidden="false" customHeight="false" outlineLevel="0" collapsed="false">
      <c r="A86" s="3" t="s">
        <v>116</v>
      </c>
      <c r="B86" s="4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/>
      <c r="P86" s="3" t="n">
        <v>66.6</v>
      </c>
    </row>
    <row r="87" customFormat="false" ht="15" hidden="false" customHeight="false" outlineLevel="0" collapsed="false">
      <c r="A87" s="3" t="s">
        <v>117</v>
      </c>
      <c r="B87" s="4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/>
      <c r="P87" s="3" t="n">
        <v>50.9</v>
      </c>
    </row>
    <row r="88" customFormat="false" ht="15" hidden="false" customHeight="false" outlineLevel="0" collapsed="false">
      <c r="A88" s="3" t="s">
        <v>118</v>
      </c>
      <c r="B88" s="4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/>
      <c r="P88" s="3" t="n">
        <v>51</v>
      </c>
    </row>
    <row r="89" customFormat="false" ht="15" hidden="false" customHeight="false" outlineLevel="0" collapsed="false">
      <c r="A89" s="3" t="s">
        <v>119</v>
      </c>
      <c r="B89" s="4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/>
      <c r="P89" s="3" t="n">
        <v>65.8</v>
      </c>
    </row>
    <row r="90" customFormat="false" ht="15" hidden="false" customHeight="false" outlineLevel="0" collapsed="false">
      <c r="A90" s="3" t="s">
        <v>120</v>
      </c>
      <c r="B90" s="4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/>
      <c r="P90" s="3" t="n">
        <v>61.8</v>
      </c>
    </row>
    <row r="91" customFormat="false" ht="15" hidden="false" customHeight="false" outlineLevel="0" collapsed="false">
      <c r="A91" s="3" t="s">
        <v>121</v>
      </c>
      <c r="B91" s="4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3" t="n">
        <v>1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/>
      <c r="P91" s="3" t="n">
        <v>54.5</v>
      </c>
    </row>
    <row r="92" customFormat="false" ht="15" hidden="false" customHeight="false" outlineLevel="0" collapsed="false">
      <c r="A92" s="3" t="s">
        <v>122</v>
      </c>
      <c r="B92" s="4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3" t="n">
        <v>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/>
      <c r="P92" s="3" t="n">
        <v>72.2</v>
      </c>
    </row>
    <row r="93" customFormat="false" ht="15" hidden="false" customHeight="false" outlineLevel="0" collapsed="false">
      <c r="A93" s="3" t="s">
        <v>123</v>
      </c>
      <c r="B93" s="4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/>
      <c r="P93" s="3" t="n">
        <v>42.3</v>
      </c>
    </row>
    <row r="94" customFormat="false" ht="15" hidden="false" customHeight="false" outlineLevel="0" collapsed="false">
      <c r="A94" s="3" t="s">
        <v>124</v>
      </c>
      <c r="B94" s="4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/>
      <c r="P94" s="3" t="n">
        <v>76.2</v>
      </c>
    </row>
    <row r="95" customFormat="false" ht="15" hidden="false" customHeight="false" outlineLevel="0" collapsed="false">
      <c r="A95" s="3" t="s">
        <v>125</v>
      </c>
      <c r="B95" s="4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3" t="n">
        <v>1</v>
      </c>
      <c r="I95" s="3" t="n">
        <v>1</v>
      </c>
      <c r="J95" s="3" t="n">
        <v>1</v>
      </c>
      <c r="K95" s="3" t="n">
        <v>0</v>
      </c>
      <c r="L95" s="3" t="n">
        <v>0</v>
      </c>
      <c r="M95" s="3" t="n">
        <v>1</v>
      </c>
      <c r="N95" s="3" t="n">
        <v>0</v>
      </c>
      <c r="O95" s="3"/>
      <c r="P95" s="3" t="n">
        <v>37.4</v>
      </c>
    </row>
    <row r="96" customFormat="false" ht="15" hidden="false" customHeight="false" outlineLevel="0" collapsed="false">
      <c r="A96" s="3" t="s">
        <v>126</v>
      </c>
      <c r="B96" s="4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/>
      <c r="P96" s="3" t="n">
        <v>84.2</v>
      </c>
    </row>
    <row r="97" customFormat="false" ht="15" hidden="false" customHeight="false" outlineLevel="0" collapsed="false">
      <c r="A97" s="3" t="s">
        <v>127</v>
      </c>
      <c r="B97" s="4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/>
      <c r="P97" s="3" t="n">
        <v>68</v>
      </c>
    </row>
    <row r="98" customFormat="false" ht="15" hidden="false" customHeight="false" outlineLevel="0" collapsed="false">
      <c r="A98" s="3" t="s">
        <v>128</v>
      </c>
      <c r="B98" s="4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/>
      <c r="P98" s="3" t="n">
        <v>53.5</v>
      </c>
    </row>
    <row r="99" customFormat="false" ht="15" hidden="false" customHeight="false" outlineLevel="0" collapsed="false">
      <c r="A99" s="3" t="s">
        <v>129</v>
      </c>
      <c r="B99" s="4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/>
      <c r="P99" s="3" t="n">
        <v>63.2</v>
      </c>
    </row>
    <row r="100" customFormat="false" ht="15" hidden="false" customHeight="false" outlineLevel="0" collapsed="false">
      <c r="A100" s="3" t="s">
        <v>130</v>
      </c>
      <c r="B100" s="4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3" t="n">
        <v>1</v>
      </c>
      <c r="I100" s="3" t="n">
        <v>1</v>
      </c>
      <c r="J100" s="3" t="n">
        <v>1</v>
      </c>
      <c r="K100" s="3" t="n">
        <v>1</v>
      </c>
      <c r="L100" s="3" t="n">
        <v>363.32</v>
      </c>
      <c r="M100" s="3" t="n">
        <v>0</v>
      </c>
      <c r="N100" s="3" t="n">
        <v>0</v>
      </c>
      <c r="O100" s="3" t="n">
        <v>9</v>
      </c>
      <c r="P100" s="3" t="n">
        <v>55.9</v>
      </c>
    </row>
    <row r="101" customFormat="false" ht="15" hidden="false" customHeight="false" outlineLevel="0" collapsed="false">
      <c r="A101" s="3" t="s">
        <v>131</v>
      </c>
      <c r="B101" s="4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/>
      <c r="P101" s="3" t="n">
        <v>63.5</v>
      </c>
    </row>
    <row r="102" customFormat="false" ht="15" hidden="false" customHeight="false" outlineLevel="0" collapsed="false">
      <c r="A102" s="3" t="s">
        <v>132</v>
      </c>
      <c r="B102" s="4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/>
      <c r="P102" s="3" t="n">
        <v>51.5</v>
      </c>
    </row>
    <row r="103" customFormat="false" ht="15" hidden="false" customHeight="false" outlineLevel="0" collapsed="false">
      <c r="A103" s="3" t="s">
        <v>133</v>
      </c>
      <c r="B103" s="4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3" t="n">
        <v>1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/>
      <c r="P103" s="3" t="n">
        <v>74.4</v>
      </c>
    </row>
    <row r="104" customFormat="false" ht="15" hidden="false" customHeight="false" outlineLevel="0" collapsed="false">
      <c r="A104" s="3" t="s">
        <v>134</v>
      </c>
      <c r="B104" s="4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3" t="n">
        <v>1</v>
      </c>
      <c r="I104" s="3" t="n">
        <v>1</v>
      </c>
      <c r="J104" s="3" t="n">
        <v>1</v>
      </c>
      <c r="K104" s="3" t="n">
        <v>1</v>
      </c>
      <c r="L104" s="3" t="n">
        <v>3887.98</v>
      </c>
      <c r="M104" s="3" t="n">
        <v>0</v>
      </c>
      <c r="N104" s="3" t="n">
        <v>0</v>
      </c>
      <c r="O104" s="3" t="n">
        <v>13</v>
      </c>
      <c r="P104" s="3" t="n">
        <v>60.2</v>
      </c>
    </row>
    <row r="105" customFormat="false" ht="15" hidden="false" customHeight="false" outlineLevel="0" collapsed="false">
      <c r="A105" s="3" t="s">
        <v>135</v>
      </c>
      <c r="B105" s="4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1</v>
      </c>
      <c r="N105" s="3" t="n">
        <v>0</v>
      </c>
      <c r="O105" s="3"/>
      <c r="P105" s="3" t="n">
        <v>67.2</v>
      </c>
    </row>
    <row r="106" customFormat="false" ht="15" hidden="false" customHeight="false" outlineLevel="0" collapsed="false">
      <c r="A106" s="3" t="s">
        <v>136</v>
      </c>
      <c r="B106" s="4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3" t="n">
        <v>1</v>
      </c>
      <c r="I106" s="3" t="n">
        <v>1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>
        <v>0</v>
      </c>
      <c r="O106" s="3"/>
      <c r="P106" s="3" t="n">
        <v>79.6</v>
      </c>
    </row>
    <row r="107" customFormat="false" ht="15" hidden="false" customHeight="false" outlineLevel="0" collapsed="false">
      <c r="A107" s="3" t="s">
        <v>137</v>
      </c>
      <c r="B107" s="4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3" t="n">
        <v>1</v>
      </c>
      <c r="I107" s="3" t="n">
        <v>1</v>
      </c>
      <c r="J107" s="3" t="n">
        <v>1</v>
      </c>
      <c r="K107" s="3" t="n">
        <v>1</v>
      </c>
      <c r="L107" s="3" t="n">
        <v>8610.72</v>
      </c>
      <c r="M107" s="3" t="n">
        <v>0</v>
      </c>
      <c r="N107" s="3" t="n">
        <v>0</v>
      </c>
      <c r="O107" s="3" t="n">
        <v>6</v>
      </c>
      <c r="P107" s="3" t="n">
        <v>61</v>
      </c>
    </row>
    <row r="108" customFormat="false" ht="15" hidden="false" customHeight="false" outlineLevel="0" collapsed="false">
      <c r="A108" s="3" t="s">
        <v>138</v>
      </c>
      <c r="B108" s="4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3" t="n">
        <v>1</v>
      </c>
      <c r="I108" s="3" t="n">
        <v>1</v>
      </c>
      <c r="J108" s="3" t="n">
        <v>1</v>
      </c>
      <c r="K108" s="3" t="n">
        <v>0</v>
      </c>
      <c r="L108" s="3" t="n">
        <v>0</v>
      </c>
      <c r="M108" s="3" t="n">
        <v>4</v>
      </c>
      <c r="N108" s="3" t="n">
        <v>0</v>
      </c>
      <c r="O108" s="3"/>
      <c r="P108" s="3" t="n">
        <v>51.1</v>
      </c>
    </row>
    <row r="109" customFormat="false" ht="15" hidden="false" customHeight="false" outlineLevel="0" collapsed="false">
      <c r="A109" s="3" t="s">
        <v>139</v>
      </c>
      <c r="B109" s="4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/>
      <c r="P109" s="3" t="n">
        <v>92.1</v>
      </c>
    </row>
    <row r="110" customFormat="false" ht="15" hidden="false" customHeight="false" outlineLevel="0" collapsed="false">
      <c r="A110" s="3" t="s">
        <v>140</v>
      </c>
      <c r="B110" s="4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/>
      <c r="P110" s="3" t="n">
        <v>82.1</v>
      </c>
    </row>
    <row r="111" customFormat="false" ht="15" hidden="false" customHeight="false" outlineLevel="0" collapsed="false">
      <c r="A111" s="3" t="s">
        <v>141</v>
      </c>
      <c r="B111" s="4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3" t="n">
        <v>1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1</v>
      </c>
      <c r="N111" s="3" t="n">
        <v>0</v>
      </c>
      <c r="O111" s="3"/>
      <c r="P111" s="3" t="n">
        <v>74</v>
      </c>
    </row>
    <row r="112" customFormat="false" ht="15" hidden="false" customHeight="false" outlineLevel="0" collapsed="false">
      <c r="A112" s="3" t="s">
        <v>142</v>
      </c>
      <c r="B112" s="4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/>
      <c r="P112" s="3" t="n">
        <v>63.4</v>
      </c>
    </row>
    <row r="113" customFormat="false" ht="15" hidden="false" customHeight="false" outlineLevel="0" collapsed="false">
      <c r="A113" s="3" t="s">
        <v>143</v>
      </c>
      <c r="B113" s="4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3" t="n">
        <v>1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/>
      <c r="P113" s="3" t="n">
        <v>53.2</v>
      </c>
    </row>
    <row r="114" customFormat="false" ht="15" hidden="false" customHeight="false" outlineLevel="0" collapsed="false">
      <c r="A114" s="3" t="s">
        <v>144</v>
      </c>
      <c r="B114" s="4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/>
      <c r="P114" s="3" t="n">
        <v>48.1</v>
      </c>
    </row>
    <row r="115" customFormat="false" ht="15" hidden="false" customHeight="false" outlineLevel="0" collapsed="false">
      <c r="A115" s="3" t="s">
        <v>145</v>
      </c>
      <c r="B115" s="4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3" t="n">
        <v>1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/>
      <c r="P115" s="3" t="n">
        <v>61.5</v>
      </c>
    </row>
    <row r="116" customFormat="false" ht="15" hidden="false" customHeight="false" outlineLevel="0" collapsed="false">
      <c r="A116" s="3" t="s">
        <v>146</v>
      </c>
      <c r="B116" s="4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/>
      <c r="P116" s="3" t="n">
        <v>63.2</v>
      </c>
    </row>
    <row r="117" customFormat="false" ht="15" hidden="false" customHeight="false" outlineLevel="0" collapsed="false">
      <c r="A117" s="3" t="s">
        <v>147</v>
      </c>
      <c r="B117" s="4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/>
      <c r="P117" s="3" t="n">
        <v>71.9</v>
      </c>
    </row>
    <row r="118" customFormat="false" ht="15" hidden="false" customHeight="false" outlineLevel="0" collapsed="false">
      <c r="A118" s="3" t="s">
        <v>148</v>
      </c>
      <c r="B118" s="4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/>
      <c r="P118" s="3" t="n">
        <v>62.7</v>
      </c>
    </row>
    <row r="119" customFormat="false" ht="15" hidden="false" customHeight="false" outlineLevel="0" collapsed="false">
      <c r="A119" s="3" t="s">
        <v>149</v>
      </c>
      <c r="B119" s="4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3" t="n">
        <v>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/>
      <c r="P119" s="3" t="n">
        <v>51.5</v>
      </c>
    </row>
    <row r="120" customFormat="false" ht="15" hidden="false" customHeight="false" outlineLevel="0" collapsed="false">
      <c r="A120" s="3" t="s">
        <v>150</v>
      </c>
      <c r="B120" s="4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3" t="n">
        <v>1</v>
      </c>
      <c r="I120" s="3" t="n">
        <v>1</v>
      </c>
      <c r="J120" s="3" t="n">
        <v>1</v>
      </c>
      <c r="K120" s="3" t="n">
        <v>0</v>
      </c>
      <c r="L120" s="3" t="n">
        <v>0</v>
      </c>
      <c r="M120" s="3" t="n">
        <v>0</v>
      </c>
      <c r="N120" s="3" t="n">
        <v>0</v>
      </c>
      <c r="O120" s="3"/>
      <c r="P120" s="3" t="n">
        <v>39.1</v>
      </c>
    </row>
    <row r="121" customFormat="false" ht="15" hidden="false" customHeight="false" outlineLevel="0" collapsed="false">
      <c r="A121" s="3" t="s">
        <v>151</v>
      </c>
      <c r="B121" s="4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3" t="n">
        <v>1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/>
      <c r="P121" s="3" t="n">
        <v>43.8</v>
      </c>
    </row>
    <row r="122" customFormat="false" ht="15" hidden="false" customHeight="false" outlineLevel="0" collapsed="false">
      <c r="A122" s="3" t="s">
        <v>152</v>
      </c>
      <c r="B122" s="4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3" t="n">
        <v>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/>
      <c r="P122" s="3" t="n">
        <v>59.9</v>
      </c>
    </row>
    <row r="123" customFormat="false" ht="15" hidden="false" customHeight="false" outlineLevel="0" collapsed="false">
      <c r="A123" s="3" t="s">
        <v>153</v>
      </c>
      <c r="B123" s="4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/>
      <c r="P123" s="3" t="n">
        <v>71.4</v>
      </c>
    </row>
    <row r="124" customFormat="false" ht="15" hidden="false" customHeight="false" outlineLevel="0" collapsed="false">
      <c r="A124" s="3" t="s">
        <v>154</v>
      </c>
      <c r="B124" s="4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/>
      <c r="P124" s="3" t="n">
        <v>36.1</v>
      </c>
    </row>
    <row r="125" customFormat="false" ht="15" hidden="false" customHeight="false" outlineLevel="0" collapsed="false">
      <c r="A125" s="3" t="s">
        <v>155</v>
      </c>
      <c r="B125" s="4" t="n">
        <v>45807</v>
      </c>
      <c r="C125" s="3" t="s">
        <v>17</v>
      </c>
      <c r="D125" s="3" t="s">
        <v>23</v>
      </c>
      <c r="E125" s="3" t="s">
        <v>156</v>
      </c>
      <c r="F125" s="3" t="s">
        <v>20</v>
      </c>
      <c r="G125" s="3" t="s">
        <v>21</v>
      </c>
      <c r="H125" s="3" t="n">
        <v>1</v>
      </c>
      <c r="I125" s="3" t="n">
        <v>1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/>
      <c r="P125" s="3" t="n">
        <v>47.9</v>
      </c>
    </row>
    <row r="126" customFormat="false" ht="15" hidden="false" customHeight="false" outlineLevel="0" collapsed="false">
      <c r="A126" s="3" t="s">
        <v>157</v>
      </c>
      <c r="B126" s="4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/>
      <c r="P126" s="3" t="n">
        <v>62.5</v>
      </c>
    </row>
    <row r="127" customFormat="false" ht="15" hidden="false" customHeight="false" outlineLevel="0" collapsed="false">
      <c r="A127" s="3" t="s">
        <v>158</v>
      </c>
      <c r="B127" s="4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3" t="n">
        <v>1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/>
      <c r="P127" s="3" t="n">
        <v>56.9</v>
      </c>
    </row>
    <row r="128" customFormat="false" ht="15" hidden="false" customHeight="false" outlineLevel="0" collapsed="false">
      <c r="A128" s="3" t="s">
        <v>159</v>
      </c>
      <c r="B128" s="4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/>
      <c r="P128" s="3" t="n">
        <v>64.7</v>
      </c>
    </row>
    <row r="129" customFormat="false" ht="15" hidden="false" customHeight="false" outlineLevel="0" collapsed="false">
      <c r="A129" s="3" t="s">
        <v>160</v>
      </c>
      <c r="B129" s="4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3" t="n">
        <v>1</v>
      </c>
      <c r="I129" s="3" t="n">
        <v>1</v>
      </c>
      <c r="J129" s="3" t="n">
        <v>1</v>
      </c>
      <c r="K129" s="3" t="n">
        <v>0</v>
      </c>
      <c r="L129" s="3" t="n">
        <v>0</v>
      </c>
      <c r="M129" s="3" t="n">
        <v>0</v>
      </c>
      <c r="N129" s="3" t="n">
        <v>0</v>
      </c>
      <c r="O129" s="3"/>
      <c r="P129" s="3" t="n">
        <v>64</v>
      </c>
    </row>
    <row r="130" customFormat="false" ht="15" hidden="false" customHeight="false" outlineLevel="0" collapsed="false">
      <c r="A130" s="3" t="s">
        <v>161</v>
      </c>
      <c r="B130" s="4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3" t="n">
        <v>1</v>
      </c>
      <c r="I130" s="3" t="n">
        <v>1</v>
      </c>
      <c r="J130" s="3" t="n">
        <v>1</v>
      </c>
      <c r="K130" s="3" t="n">
        <v>0</v>
      </c>
      <c r="L130" s="3" t="n">
        <v>0</v>
      </c>
      <c r="M130" s="3" t="n">
        <v>0</v>
      </c>
      <c r="N130" s="3" t="n">
        <v>0</v>
      </c>
      <c r="O130" s="3"/>
      <c r="P130" s="3" t="n">
        <v>75.2</v>
      </c>
    </row>
    <row r="131" customFormat="false" ht="15" hidden="false" customHeight="false" outlineLevel="0" collapsed="false">
      <c r="A131" s="3" t="s">
        <v>162</v>
      </c>
      <c r="B131" s="4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</v>
      </c>
      <c r="N131" s="3" t="n">
        <v>0</v>
      </c>
      <c r="O131" s="3"/>
      <c r="P131" s="3" t="n">
        <v>79</v>
      </c>
    </row>
    <row r="132" customFormat="false" ht="15" hidden="false" customHeight="false" outlineLevel="0" collapsed="false">
      <c r="A132" s="3" t="s">
        <v>163</v>
      </c>
      <c r="B132" s="4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/>
      <c r="P132" s="3" t="n">
        <v>33</v>
      </c>
    </row>
    <row r="133" customFormat="false" ht="15" hidden="false" customHeight="false" outlineLevel="0" collapsed="false">
      <c r="A133" s="3" t="s">
        <v>164</v>
      </c>
      <c r="B133" s="4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3" t="n">
        <v>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/>
      <c r="P133" s="3" t="n">
        <v>67.9</v>
      </c>
    </row>
    <row r="134" customFormat="false" ht="15" hidden="false" customHeight="false" outlineLevel="0" collapsed="false">
      <c r="A134" s="3" t="s">
        <v>165</v>
      </c>
      <c r="B134" s="4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/>
      <c r="P134" s="3" t="n">
        <v>42.2</v>
      </c>
    </row>
    <row r="135" customFormat="false" ht="15" hidden="false" customHeight="false" outlineLevel="0" collapsed="false">
      <c r="A135" s="3" t="s">
        <v>166</v>
      </c>
      <c r="B135" s="4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3" t="n">
        <v>1</v>
      </c>
      <c r="I135" s="3" t="n">
        <v>1</v>
      </c>
      <c r="J135" s="3" t="n">
        <v>1</v>
      </c>
      <c r="K135" s="3" t="n">
        <v>0</v>
      </c>
      <c r="L135" s="3" t="n">
        <v>0</v>
      </c>
      <c r="M135" s="3" t="n">
        <v>0</v>
      </c>
      <c r="N135" s="3" t="n">
        <v>0</v>
      </c>
      <c r="O135" s="3"/>
      <c r="P135" s="3" t="n">
        <v>43.4</v>
      </c>
    </row>
    <row r="136" customFormat="false" ht="15" hidden="false" customHeight="false" outlineLevel="0" collapsed="false">
      <c r="A136" s="3" t="s">
        <v>167</v>
      </c>
      <c r="B136" s="4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/>
      <c r="P136" s="3" t="n">
        <v>54.4</v>
      </c>
    </row>
    <row r="137" customFormat="false" ht="15" hidden="false" customHeight="false" outlineLevel="0" collapsed="false">
      <c r="A137" s="3" t="s">
        <v>168</v>
      </c>
      <c r="B137" s="4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/>
      <c r="P137" s="3" t="n">
        <v>45.7</v>
      </c>
    </row>
    <row r="138" customFormat="false" ht="15" hidden="false" customHeight="false" outlineLevel="0" collapsed="false">
      <c r="A138" s="3" t="s">
        <v>169</v>
      </c>
      <c r="B138" s="4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3</v>
      </c>
      <c r="N138" s="3" t="n">
        <v>0</v>
      </c>
      <c r="O138" s="3"/>
      <c r="P138" s="3" t="n">
        <v>32</v>
      </c>
    </row>
    <row r="139" customFormat="false" ht="15" hidden="false" customHeight="false" outlineLevel="0" collapsed="false">
      <c r="A139" s="3" t="s">
        <v>170</v>
      </c>
      <c r="B139" s="4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/>
      <c r="P139" s="3" t="n">
        <v>70.9</v>
      </c>
    </row>
    <row r="140" customFormat="false" ht="15" hidden="false" customHeight="false" outlineLevel="0" collapsed="false">
      <c r="A140" s="3" t="s">
        <v>171</v>
      </c>
      <c r="B140" s="4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3" t="n">
        <v>1</v>
      </c>
      <c r="I140" s="3" t="n">
        <v>1</v>
      </c>
      <c r="J140" s="3" t="n">
        <v>1</v>
      </c>
      <c r="K140" s="3" t="n">
        <v>0</v>
      </c>
      <c r="L140" s="3" t="n">
        <v>0</v>
      </c>
      <c r="M140" s="3" t="n">
        <v>0</v>
      </c>
      <c r="N140" s="3" t="n">
        <v>0</v>
      </c>
      <c r="O140" s="3"/>
      <c r="P140" s="3" t="n">
        <v>59.1</v>
      </c>
    </row>
    <row r="141" customFormat="false" ht="15" hidden="false" customHeight="false" outlineLevel="0" collapsed="false">
      <c r="A141" s="3" t="s">
        <v>172</v>
      </c>
      <c r="B141" s="4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/>
      <c r="P141" s="3" t="n">
        <v>62.4</v>
      </c>
    </row>
    <row r="142" customFormat="false" ht="15" hidden="false" customHeight="false" outlineLevel="0" collapsed="false">
      <c r="A142" s="3" t="s">
        <v>173</v>
      </c>
      <c r="B142" s="4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/>
      <c r="P142" s="3" t="n">
        <v>49.6</v>
      </c>
    </row>
    <row r="143" customFormat="false" ht="15" hidden="false" customHeight="false" outlineLevel="0" collapsed="false">
      <c r="A143" s="3" t="s">
        <v>174</v>
      </c>
      <c r="B143" s="4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404.4</v>
      </c>
      <c r="M143" s="3" t="n">
        <v>0</v>
      </c>
      <c r="N143" s="3" t="n">
        <v>0</v>
      </c>
      <c r="O143" s="3" t="n">
        <v>9</v>
      </c>
      <c r="P143" s="3" t="n">
        <v>80.6</v>
      </c>
    </row>
    <row r="144" customFormat="false" ht="15" hidden="false" customHeight="false" outlineLevel="0" collapsed="false">
      <c r="A144" s="3" t="s">
        <v>175</v>
      </c>
      <c r="B144" s="4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/>
      <c r="P144" s="3" t="n">
        <v>47.9</v>
      </c>
    </row>
    <row r="145" customFormat="false" ht="15" hidden="false" customHeight="false" outlineLevel="0" collapsed="false">
      <c r="A145" s="3" t="s">
        <v>176</v>
      </c>
      <c r="B145" s="4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3" t="n">
        <v>1</v>
      </c>
      <c r="I145" s="3" t="n">
        <v>1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/>
      <c r="P145" s="3" t="n">
        <v>54.8</v>
      </c>
    </row>
    <row r="146" customFormat="false" ht="15" hidden="false" customHeight="false" outlineLevel="0" collapsed="false">
      <c r="A146" s="3" t="s">
        <v>177</v>
      </c>
      <c r="B146" s="4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3" t="n">
        <v>1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</v>
      </c>
      <c r="N146" s="3" t="n">
        <v>0</v>
      </c>
      <c r="O146" s="3"/>
      <c r="P146" s="3" t="n">
        <v>53.9</v>
      </c>
    </row>
    <row r="147" customFormat="false" ht="15" hidden="false" customHeight="false" outlineLevel="0" collapsed="false">
      <c r="A147" s="3" t="s">
        <v>178</v>
      </c>
      <c r="B147" s="4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/>
      <c r="P147" s="3" t="n">
        <v>41.3</v>
      </c>
    </row>
    <row r="148" customFormat="false" ht="15" hidden="false" customHeight="false" outlineLevel="0" collapsed="false">
      <c r="A148" s="3" t="s">
        <v>179</v>
      </c>
      <c r="B148" s="4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/>
      <c r="P148" s="3" t="n">
        <v>38.9</v>
      </c>
    </row>
    <row r="149" customFormat="false" ht="15" hidden="false" customHeight="false" outlineLevel="0" collapsed="false">
      <c r="A149" s="3" t="s">
        <v>180</v>
      </c>
      <c r="B149" s="4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3" t="n">
        <v>1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/>
      <c r="P149" s="3" t="n">
        <v>63.6</v>
      </c>
    </row>
    <row r="150" customFormat="false" ht="15" hidden="false" customHeight="false" outlineLevel="0" collapsed="false">
      <c r="A150" s="3" t="s">
        <v>181</v>
      </c>
      <c r="B150" s="4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577.94</v>
      </c>
      <c r="M150" s="3" t="n">
        <v>0</v>
      </c>
      <c r="N150" s="3" t="n">
        <v>0</v>
      </c>
      <c r="O150" s="3" t="n">
        <v>9</v>
      </c>
      <c r="P150" s="3" t="n">
        <v>76.6</v>
      </c>
    </row>
    <row r="151" customFormat="false" ht="15" hidden="false" customHeight="false" outlineLevel="0" collapsed="false">
      <c r="A151" s="3" t="s">
        <v>182</v>
      </c>
      <c r="B151" s="4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1</v>
      </c>
      <c r="N151" s="3" t="n">
        <v>0</v>
      </c>
      <c r="O151" s="3"/>
      <c r="P151" s="3" t="n">
        <v>67.6</v>
      </c>
    </row>
    <row r="152" customFormat="false" ht="15" hidden="false" customHeight="false" outlineLevel="0" collapsed="false">
      <c r="A152" s="3" t="s">
        <v>183</v>
      </c>
      <c r="B152" s="4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/>
      <c r="P152" s="3" t="n">
        <v>43.1</v>
      </c>
    </row>
    <row r="153" customFormat="false" ht="15" hidden="false" customHeight="false" outlineLevel="0" collapsed="false">
      <c r="A153" s="3" t="s">
        <v>184</v>
      </c>
      <c r="B153" s="4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/>
      <c r="P153" s="3" t="n">
        <v>58.3</v>
      </c>
    </row>
    <row r="154" customFormat="false" ht="15" hidden="false" customHeight="false" outlineLevel="0" collapsed="false">
      <c r="A154" s="3" t="s">
        <v>185</v>
      </c>
      <c r="B154" s="4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3" t="n">
        <v>1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/>
      <c r="P154" s="3" t="n">
        <v>69.8</v>
      </c>
    </row>
    <row r="155" customFormat="false" ht="15" hidden="false" customHeight="false" outlineLevel="0" collapsed="false">
      <c r="A155" s="3" t="s">
        <v>186</v>
      </c>
      <c r="B155" s="4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3" t="n">
        <v>1</v>
      </c>
      <c r="I155" s="3" t="n">
        <v>1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/>
      <c r="P155" s="3"/>
    </row>
    <row r="156" customFormat="false" ht="15" hidden="false" customHeight="false" outlineLevel="0" collapsed="false">
      <c r="A156" s="3" t="s">
        <v>187</v>
      </c>
      <c r="B156" s="4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3" t="n">
        <v>1</v>
      </c>
      <c r="I156" s="3" t="n">
        <v>1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/>
      <c r="P156" s="3" t="n">
        <v>41.9</v>
      </c>
    </row>
    <row r="157" customFormat="false" ht="15" hidden="false" customHeight="false" outlineLevel="0" collapsed="false">
      <c r="A157" s="3" t="s">
        <v>188</v>
      </c>
      <c r="B157" s="4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/>
      <c r="P157" s="3" t="n">
        <v>33.1</v>
      </c>
    </row>
    <row r="158" customFormat="false" ht="15" hidden="false" customHeight="false" outlineLevel="0" collapsed="false">
      <c r="A158" s="3" t="s">
        <v>189</v>
      </c>
      <c r="B158" s="4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/>
      <c r="P158" s="3" t="n">
        <v>58.6</v>
      </c>
    </row>
    <row r="159" customFormat="false" ht="15" hidden="false" customHeight="false" outlineLevel="0" collapsed="false">
      <c r="A159" s="3" t="s">
        <v>190</v>
      </c>
      <c r="B159" s="4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/>
      <c r="P159" s="3" t="n">
        <v>55.7</v>
      </c>
    </row>
    <row r="160" customFormat="false" ht="15" hidden="false" customHeight="false" outlineLevel="0" collapsed="false">
      <c r="A160" s="3" t="s">
        <v>191</v>
      </c>
      <c r="B160" s="4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2</v>
      </c>
      <c r="N160" s="3" t="n">
        <v>0</v>
      </c>
      <c r="O160" s="3"/>
      <c r="P160" s="3" t="n">
        <v>64.9</v>
      </c>
    </row>
    <row r="161" customFormat="false" ht="15" hidden="false" customHeight="false" outlineLevel="0" collapsed="false">
      <c r="A161" s="3" t="s">
        <v>192</v>
      </c>
      <c r="B161" s="4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/>
      <c r="P161" s="3" t="n">
        <v>72.3</v>
      </c>
    </row>
    <row r="162" customFormat="false" ht="15" hidden="false" customHeight="false" outlineLevel="0" collapsed="false">
      <c r="A162" s="3" t="s">
        <v>193</v>
      </c>
      <c r="B162" s="4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/>
      <c r="P162" s="3" t="n">
        <v>42.1</v>
      </c>
    </row>
    <row r="163" customFormat="false" ht="15" hidden="false" customHeight="false" outlineLevel="0" collapsed="false">
      <c r="A163" s="3" t="s">
        <v>194</v>
      </c>
      <c r="B163" s="4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/>
      <c r="P163" s="3"/>
    </row>
    <row r="164" customFormat="false" ht="15" hidden="false" customHeight="false" outlineLevel="0" collapsed="false">
      <c r="A164" s="3" t="s">
        <v>195</v>
      </c>
      <c r="B164" s="4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1</v>
      </c>
      <c r="N164" s="3" t="n">
        <v>0</v>
      </c>
      <c r="O164" s="3"/>
      <c r="P164" s="3" t="n">
        <v>64.8</v>
      </c>
    </row>
    <row r="165" customFormat="false" ht="15" hidden="false" customHeight="false" outlineLevel="0" collapsed="false">
      <c r="A165" s="3" t="s">
        <v>196</v>
      </c>
      <c r="B165" s="4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/>
      <c r="P165" s="3" t="n">
        <v>72.1</v>
      </c>
    </row>
    <row r="166" customFormat="false" ht="15" hidden="false" customHeight="false" outlineLevel="0" collapsed="false">
      <c r="A166" s="3" t="s">
        <v>197</v>
      </c>
      <c r="B166" s="4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/>
      <c r="P166" s="3" t="n">
        <v>50.6</v>
      </c>
    </row>
    <row r="167" customFormat="false" ht="15" hidden="false" customHeight="false" outlineLevel="0" collapsed="false">
      <c r="A167" s="3" t="s">
        <v>198</v>
      </c>
      <c r="B167" s="4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3" t="n">
        <v>1</v>
      </c>
      <c r="I167" s="3" t="n">
        <v>1</v>
      </c>
      <c r="J167" s="3" t="n">
        <v>1</v>
      </c>
      <c r="K167" s="3" t="n">
        <v>1</v>
      </c>
      <c r="L167" s="3" t="n">
        <v>1281.25</v>
      </c>
      <c r="M167" s="3" t="n">
        <v>1</v>
      </c>
      <c r="N167" s="3" t="n">
        <v>0</v>
      </c>
      <c r="O167" s="3" t="n">
        <v>9</v>
      </c>
      <c r="P167" s="3" t="n">
        <v>43.4</v>
      </c>
    </row>
    <row r="168" customFormat="false" ht="15" hidden="false" customHeight="false" outlineLevel="0" collapsed="false">
      <c r="A168" s="3" t="s">
        <v>199</v>
      </c>
      <c r="B168" s="4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/>
      <c r="P168" s="3" t="n">
        <v>59.7</v>
      </c>
    </row>
    <row r="169" customFormat="false" ht="15" hidden="false" customHeight="false" outlineLevel="0" collapsed="false">
      <c r="A169" s="3" t="s">
        <v>200</v>
      </c>
      <c r="B169" s="4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1</v>
      </c>
      <c r="N169" s="3" t="n">
        <v>0</v>
      </c>
      <c r="O169" s="3"/>
      <c r="P169" s="3"/>
    </row>
    <row r="170" customFormat="false" ht="15" hidden="false" customHeight="false" outlineLevel="0" collapsed="false">
      <c r="A170" s="3" t="s">
        <v>201</v>
      </c>
      <c r="B170" s="4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/>
      <c r="P170" s="3" t="n">
        <v>54.5</v>
      </c>
    </row>
    <row r="171" customFormat="false" ht="15" hidden="false" customHeight="false" outlineLevel="0" collapsed="false">
      <c r="A171" s="3" t="s">
        <v>202</v>
      </c>
      <c r="B171" s="4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3" t="n">
        <v>1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/>
      <c r="P171" s="3" t="n">
        <v>71.1</v>
      </c>
    </row>
    <row r="172" customFormat="false" ht="15" hidden="false" customHeight="false" outlineLevel="0" collapsed="false">
      <c r="A172" s="3" t="s">
        <v>203</v>
      </c>
      <c r="B172" s="4" t="n">
        <v>45806</v>
      </c>
      <c r="C172" s="3" t="s">
        <v>17</v>
      </c>
      <c r="D172" s="3" t="s">
        <v>28</v>
      </c>
      <c r="E172" s="3" t="s">
        <v>156</v>
      </c>
      <c r="F172" s="3" t="s">
        <v>29</v>
      </c>
      <c r="G172" s="3" t="s">
        <v>26</v>
      </c>
      <c r="H172" s="3" t="n">
        <v>1</v>
      </c>
      <c r="I172" s="3" t="n">
        <v>1</v>
      </c>
      <c r="J172" s="3" t="n">
        <v>1</v>
      </c>
      <c r="K172" s="3" t="n">
        <v>0</v>
      </c>
      <c r="L172" s="3" t="n">
        <v>0</v>
      </c>
      <c r="M172" s="3" t="n">
        <v>0</v>
      </c>
      <c r="N172" s="3" t="n">
        <v>0</v>
      </c>
      <c r="O172" s="3"/>
      <c r="P172" s="3" t="n">
        <v>44.4</v>
      </c>
    </row>
    <row r="173" customFormat="false" ht="15" hidden="false" customHeight="false" outlineLevel="0" collapsed="false">
      <c r="A173" s="3" t="s">
        <v>204</v>
      </c>
      <c r="B173" s="4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3" t="n">
        <v>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/>
      <c r="P173" s="3" t="n">
        <v>61.7</v>
      </c>
    </row>
    <row r="174" customFormat="false" ht="15" hidden="false" customHeight="false" outlineLevel="0" collapsed="false">
      <c r="A174" s="3" t="s">
        <v>205</v>
      </c>
      <c r="B174" s="4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1</v>
      </c>
      <c r="N174" s="3" t="n">
        <v>0</v>
      </c>
      <c r="O174" s="3"/>
      <c r="P174" s="3" t="n">
        <v>81.3</v>
      </c>
    </row>
    <row r="175" customFormat="false" ht="15" hidden="false" customHeight="false" outlineLevel="0" collapsed="false">
      <c r="A175" s="3" t="s">
        <v>206</v>
      </c>
      <c r="B175" s="4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3" t="n">
        <v>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2</v>
      </c>
      <c r="N175" s="3" t="n">
        <v>0</v>
      </c>
      <c r="O175" s="3"/>
      <c r="P175" s="3" t="n">
        <v>28.7</v>
      </c>
    </row>
    <row r="176" customFormat="false" ht="15" hidden="false" customHeight="false" outlineLevel="0" collapsed="false">
      <c r="A176" s="3" t="s">
        <v>207</v>
      </c>
      <c r="B176" s="4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/>
      <c r="P176" s="3" t="n">
        <v>53</v>
      </c>
    </row>
    <row r="177" customFormat="false" ht="15" hidden="false" customHeight="false" outlineLevel="0" collapsed="false">
      <c r="A177" s="3" t="s">
        <v>208</v>
      </c>
      <c r="B177" s="4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3" t="n">
        <v>1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/>
      <c r="P177" s="3" t="n">
        <v>54.9</v>
      </c>
    </row>
    <row r="178" customFormat="false" ht="15" hidden="false" customHeight="false" outlineLevel="0" collapsed="false">
      <c r="A178" s="3" t="s">
        <v>209</v>
      </c>
      <c r="B178" s="4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3" t="n">
        <v>1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/>
      <c r="P178" s="3" t="n">
        <v>58.2</v>
      </c>
    </row>
    <row r="179" customFormat="false" ht="15" hidden="false" customHeight="false" outlineLevel="0" collapsed="false">
      <c r="A179" s="3" t="s">
        <v>210</v>
      </c>
      <c r="B179" s="4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/>
      <c r="P179" s="3" t="n">
        <v>80.6</v>
      </c>
    </row>
    <row r="180" customFormat="false" ht="15" hidden="false" customHeight="false" outlineLevel="0" collapsed="false">
      <c r="A180" s="3" t="s">
        <v>211</v>
      </c>
      <c r="B180" s="4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3" t="n">
        <v>1</v>
      </c>
      <c r="I180" s="3" t="n">
        <v>1</v>
      </c>
      <c r="J180" s="3" t="n">
        <v>1</v>
      </c>
      <c r="K180" s="3" t="n">
        <v>0</v>
      </c>
      <c r="L180" s="3" t="n">
        <v>0</v>
      </c>
      <c r="M180" s="3" t="n">
        <v>0</v>
      </c>
      <c r="N180" s="3" t="n">
        <v>0</v>
      </c>
      <c r="O180" s="3"/>
      <c r="P180" s="3" t="n">
        <v>38.4</v>
      </c>
    </row>
    <row r="181" customFormat="false" ht="15" hidden="false" customHeight="false" outlineLevel="0" collapsed="false">
      <c r="A181" s="3" t="s">
        <v>212</v>
      </c>
      <c r="B181" s="4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3" t="n">
        <v>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/>
      <c r="P181" s="3" t="n">
        <v>56.1</v>
      </c>
    </row>
    <row r="182" customFormat="false" ht="15" hidden="false" customHeight="false" outlineLevel="0" collapsed="false">
      <c r="A182" s="3" t="s">
        <v>213</v>
      </c>
      <c r="B182" s="4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/>
      <c r="P182" s="3" t="n">
        <v>62.6</v>
      </c>
    </row>
    <row r="183" customFormat="false" ht="15" hidden="false" customHeight="false" outlineLevel="0" collapsed="false">
      <c r="A183" s="3" t="s">
        <v>214</v>
      </c>
      <c r="B183" s="4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/>
      <c r="P183" s="3" t="n">
        <v>36.3</v>
      </c>
    </row>
    <row r="184" customFormat="false" ht="15" hidden="false" customHeight="false" outlineLevel="0" collapsed="false">
      <c r="A184" s="3" t="s">
        <v>215</v>
      </c>
      <c r="B184" s="4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3" t="n">
        <v>1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/>
      <c r="P184" s="3" t="n">
        <v>52.1</v>
      </c>
    </row>
    <row r="185" customFormat="false" ht="15" hidden="false" customHeight="false" outlineLevel="0" collapsed="false">
      <c r="A185" s="3" t="s">
        <v>216</v>
      </c>
      <c r="B185" s="4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3" t="n">
        <v>1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/>
      <c r="P185" s="3" t="n">
        <v>45.1</v>
      </c>
    </row>
    <row r="186" customFormat="false" ht="15" hidden="false" customHeight="false" outlineLevel="0" collapsed="false">
      <c r="A186" s="3" t="s">
        <v>217</v>
      </c>
      <c r="B186" s="4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/>
      <c r="P186" s="3" t="n">
        <v>67.5</v>
      </c>
    </row>
    <row r="187" customFormat="false" ht="15" hidden="false" customHeight="false" outlineLevel="0" collapsed="false">
      <c r="A187" s="3" t="s">
        <v>218</v>
      </c>
      <c r="B187" s="4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3" t="n">
        <v>1</v>
      </c>
      <c r="I187" s="3" t="n">
        <v>1</v>
      </c>
      <c r="J187" s="3" t="n">
        <v>1</v>
      </c>
      <c r="K187" s="3" t="n">
        <v>0</v>
      </c>
      <c r="L187" s="3" t="n">
        <v>0</v>
      </c>
      <c r="M187" s="3" t="n">
        <v>0</v>
      </c>
      <c r="N187" s="3" t="n">
        <v>0</v>
      </c>
      <c r="O187" s="3"/>
      <c r="P187" s="3" t="n">
        <v>80</v>
      </c>
    </row>
    <row r="188" customFormat="false" ht="15" hidden="false" customHeight="false" outlineLevel="0" collapsed="false">
      <c r="A188" s="3" t="s">
        <v>219</v>
      </c>
      <c r="B188" s="4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/>
      <c r="P188" s="3" t="n">
        <v>56.4</v>
      </c>
    </row>
    <row r="189" customFormat="false" ht="15" hidden="false" customHeight="false" outlineLevel="0" collapsed="false">
      <c r="A189" s="3" t="s">
        <v>220</v>
      </c>
      <c r="B189" s="4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/>
      <c r="P189" s="3" t="n">
        <v>55.4</v>
      </c>
    </row>
    <row r="190" customFormat="false" ht="15" hidden="false" customHeight="false" outlineLevel="0" collapsed="false">
      <c r="A190" s="3" t="s">
        <v>221</v>
      </c>
      <c r="B190" s="4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3" t="n">
        <v>1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/>
      <c r="P190" s="3" t="n">
        <v>67.9</v>
      </c>
    </row>
    <row r="191" customFormat="false" ht="15" hidden="false" customHeight="false" outlineLevel="0" collapsed="false">
      <c r="A191" s="3" t="s">
        <v>222</v>
      </c>
      <c r="B191" s="4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3" t="n">
        <v>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/>
      <c r="P191" s="3" t="n">
        <v>62.5</v>
      </c>
    </row>
    <row r="192" customFormat="false" ht="15" hidden="false" customHeight="false" outlineLevel="0" collapsed="false">
      <c r="A192" s="3" t="s">
        <v>223</v>
      </c>
      <c r="B192" s="4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3" t="n">
        <v>1</v>
      </c>
      <c r="I192" s="3" t="n">
        <v>1</v>
      </c>
      <c r="J192" s="3" t="n">
        <v>1</v>
      </c>
      <c r="K192" s="3" t="n">
        <v>0</v>
      </c>
      <c r="L192" s="3" t="n">
        <v>0</v>
      </c>
      <c r="M192" s="3" t="n">
        <v>0</v>
      </c>
      <c r="N192" s="3" t="n">
        <v>0</v>
      </c>
      <c r="O192" s="3"/>
      <c r="P192" s="3" t="n">
        <v>54.3</v>
      </c>
    </row>
    <row r="193" customFormat="false" ht="15" hidden="false" customHeight="false" outlineLevel="0" collapsed="false">
      <c r="A193" s="3" t="s">
        <v>224</v>
      </c>
      <c r="B193" s="4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/>
      <c r="P193" s="3" t="n">
        <v>37.5</v>
      </c>
    </row>
    <row r="194" customFormat="false" ht="15" hidden="false" customHeight="false" outlineLevel="0" collapsed="false">
      <c r="A194" s="3" t="s">
        <v>225</v>
      </c>
      <c r="B194" s="4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3" t="n">
        <v>1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/>
      <c r="P194" s="3" t="n">
        <v>52.6</v>
      </c>
    </row>
    <row r="195" customFormat="false" ht="15" hidden="false" customHeight="false" outlineLevel="0" collapsed="false">
      <c r="A195" s="3" t="s">
        <v>226</v>
      </c>
      <c r="B195" s="4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3" t="n">
        <v>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/>
      <c r="P195" s="3" t="n">
        <v>46.1</v>
      </c>
    </row>
    <row r="196" customFormat="false" ht="15" hidden="false" customHeight="false" outlineLevel="0" collapsed="false">
      <c r="A196" s="3" t="s">
        <v>227</v>
      </c>
      <c r="B196" s="4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3" t="n">
        <v>1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/>
      <c r="P196" s="3" t="n">
        <v>54.7</v>
      </c>
    </row>
    <row r="197" customFormat="false" ht="15" hidden="false" customHeight="false" outlineLevel="0" collapsed="false">
      <c r="A197" s="3" t="s">
        <v>228</v>
      </c>
      <c r="B197" s="4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/>
      <c r="P197" s="3" t="n">
        <v>74.2</v>
      </c>
    </row>
    <row r="198" customFormat="false" ht="15" hidden="false" customHeight="false" outlineLevel="0" collapsed="false">
      <c r="A198" s="3" t="s">
        <v>229</v>
      </c>
      <c r="B198" s="4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3" t="n">
        <v>1</v>
      </c>
      <c r="I198" s="3" t="n">
        <v>1</v>
      </c>
      <c r="J198" s="3" t="n">
        <v>1</v>
      </c>
      <c r="K198" s="3" t="n">
        <v>1</v>
      </c>
      <c r="L198" s="3" t="n">
        <v>1052.8</v>
      </c>
      <c r="M198" s="3" t="n">
        <v>2</v>
      </c>
      <c r="N198" s="3" t="n">
        <v>0</v>
      </c>
      <c r="O198" s="3" t="n">
        <v>6</v>
      </c>
      <c r="P198" s="3" t="n">
        <v>64.7</v>
      </c>
    </row>
    <row r="199" customFormat="false" ht="15" hidden="false" customHeight="false" outlineLevel="0" collapsed="false">
      <c r="A199" s="3" t="s">
        <v>230</v>
      </c>
      <c r="B199" s="4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/>
      <c r="P199" s="3" t="n">
        <v>65.9</v>
      </c>
    </row>
    <row r="200" customFormat="false" ht="15" hidden="false" customHeight="false" outlineLevel="0" collapsed="false">
      <c r="A200" s="3" t="s">
        <v>231</v>
      </c>
      <c r="B200" s="4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3" t="n">
        <v>1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/>
      <c r="P200" s="3" t="n">
        <v>64</v>
      </c>
    </row>
    <row r="201" customFormat="false" ht="15" hidden="false" customHeight="false" outlineLevel="0" collapsed="false">
      <c r="A201" s="3" t="s">
        <v>232</v>
      </c>
      <c r="B201" s="4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3" t="n">
        <v>1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/>
      <c r="P201" s="3" t="n">
        <v>57.2</v>
      </c>
    </row>
    <row r="202" customFormat="false" ht="15" hidden="false" customHeight="false" outlineLevel="0" collapsed="false">
      <c r="A202" s="3" t="s">
        <v>233</v>
      </c>
      <c r="B202" s="4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3" t="n">
        <v>1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/>
      <c r="P202" s="3" t="n">
        <v>80.5</v>
      </c>
    </row>
    <row r="203" customFormat="false" ht="15" hidden="false" customHeight="false" outlineLevel="0" collapsed="false">
      <c r="A203" s="3" t="s">
        <v>234</v>
      </c>
      <c r="B203" s="4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/>
      <c r="P203" s="3" t="n">
        <v>53.9</v>
      </c>
    </row>
    <row r="204" customFormat="false" ht="15" hidden="false" customHeight="false" outlineLevel="0" collapsed="false">
      <c r="A204" s="3" t="s">
        <v>235</v>
      </c>
      <c r="B204" s="4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/>
      <c r="P204" s="3" t="n">
        <v>77.5</v>
      </c>
    </row>
    <row r="205" customFormat="false" ht="15" hidden="false" customHeight="false" outlineLevel="0" collapsed="false">
      <c r="A205" s="3" t="s">
        <v>236</v>
      </c>
      <c r="B205" s="4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/>
      <c r="P205" s="3" t="n">
        <v>84.2</v>
      </c>
    </row>
    <row r="206" customFormat="false" ht="15" hidden="false" customHeight="false" outlineLevel="0" collapsed="false">
      <c r="A206" s="3" t="s">
        <v>237</v>
      </c>
      <c r="B206" s="4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3" t="n">
        <v>1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/>
      <c r="P206" s="3" t="n">
        <v>54.9</v>
      </c>
    </row>
    <row r="207" customFormat="false" ht="15" hidden="false" customHeight="false" outlineLevel="0" collapsed="false">
      <c r="A207" s="3" t="s">
        <v>238</v>
      </c>
      <c r="B207" s="4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/>
      <c r="P207" s="3" t="n">
        <v>69.3</v>
      </c>
    </row>
    <row r="208" customFormat="false" ht="15" hidden="false" customHeight="false" outlineLevel="0" collapsed="false">
      <c r="A208" s="3" t="s">
        <v>239</v>
      </c>
      <c r="B208" s="4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3" t="n">
        <v>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2</v>
      </c>
      <c r="N208" s="3" t="n">
        <v>0</v>
      </c>
      <c r="O208" s="3"/>
      <c r="P208" s="3" t="n">
        <v>42.3</v>
      </c>
    </row>
    <row r="209" customFormat="false" ht="15" hidden="false" customHeight="false" outlineLevel="0" collapsed="false">
      <c r="A209" s="3" t="s">
        <v>240</v>
      </c>
      <c r="B209" s="4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3" t="n">
        <v>1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1</v>
      </c>
      <c r="N209" s="3" t="n">
        <v>0</v>
      </c>
      <c r="O209" s="3"/>
      <c r="P209" s="3" t="n">
        <v>69.6</v>
      </c>
    </row>
    <row r="210" customFormat="false" ht="15" hidden="false" customHeight="false" outlineLevel="0" collapsed="false">
      <c r="A210" s="3" t="s">
        <v>241</v>
      </c>
      <c r="B210" s="4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/>
      <c r="P210" s="3" t="n">
        <v>40.7</v>
      </c>
    </row>
    <row r="211" customFormat="false" ht="15" hidden="false" customHeight="false" outlineLevel="0" collapsed="false">
      <c r="A211" s="3" t="s">
        <v>242</v>
      </c>
      <c r="B211" s="4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/>
      <c r="P211" s="3" t="n">
        <v>54</v>
      </c>
    </row>
    <row r="212" customFormat="false" ht="15" hidden="false" customHeight="false" outlineLevel="0" collapsed="false">
      <c r="A212" s="3" t="s">
        <v>243</v>
      </c>
      <c r="B212" s="4" t="n">
        <v>45739</v>
      </c>
      <c r="C212" s="3" t="s">
        <v>17</v>
      </c>
      <c r="D212" s="3" t="s">
        <v>28</v>
      </c>
      <c r="E212" s="3" t="s">
        <v>156</v>
      </c>
      <c r="F212" s="3" t="s">
        <v>39</v>
      </c>
      <c r="G212" s="3" t="s">
        <v>26</v>
      </c>
      <c r="H212" s="3" t="n">
        <v>1</v>
      </c>
      <c r="I212" s="3" t="n">
        <v>1</v>
      </c>
      <c r="J212" s="3" t="n">
        <v>1</v>
      </c>
      <c r="K212" s="3" t="n">
        <v>1</v>
      </c>
      <c r="L212" s="3" t="n">
        <v>553.37</v>
      </c>
      <c r="M212" s="3" t="n">
        <v>0</v>
      </c>
      <c r="N212" s="3" t="n">
        <v>0</v>
      </c>
      <c r="O212" s="3" t="n">
        <v>5</v>
      </c>
      <c r="P212" s="3" t="n">
        <v>46.3</v>
      </c>
    </row>
    <row r="213" customFormat="false" ht="15" hidden="false" customHeight="false" outlineLevel="0" collapsed="false">
      <c r="A213" s="3" t="s">
        <v>244</v>
      </c>
      <c r="B213" s="4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3" t="n">
        <v>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/>
      <c r="P213" s="3" t="n">
        <v>64.2</v>
      </c>
    </row>
    <row r="214" customFormat="false" ht="15" hidden="false" customHeight="false" outlineLevel="0" collapsed="false">
      <c r="A214" s="3" t="s">
        <v>245</v>
      </c>
      <c r="B214" s="4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3" t="n">
        <v>1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/>
      <c r="P214" s="3" t="n">
        <v>75.2</v>
      </c>
    </row>
    <row r="215" customFormat="false" ht="15" hidden="false" customHeight="false" outlineLevel="0" collapsed="false">
      <c r="A215" s="3" t="s">
        <v>246</v>
      </c>
      <c r="B215" s="4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3" t="n">
        <v>1</v>
      </c>
      <c r="I215" s="3" t="n">
        <v>1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/>
      <c r="P215" s="3" t="n">
        <v>60.9</v>
      </c>
    </row>
    <row r="216" customFormat="false" ht="15" hidden="false" customHeight="false" outlineLevel="0" collapsed="false">
      <c r="A216" s="3" t="s">
        <v>247</v>
      </c>
      <c r="B216" s="4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3" t="n">
        <v>1</v>
      </c>
      <c r="I216" s="3" t="n">
        <v>1</v>
      </c>
      <c r="J216" s="3" t="n">
        <v>1</v>
      </c>
      <c r="K216" s="3" t="n">
        <v>0</v>
      </c>
      <c r="L216" s="3" t="n">
        <v>0</v>
      </c>
      <c r="M216" s="3" t="n">
        <v>0</v>
      </c>
      <c r="N216" s="3" t="n">
        <v>0</v>
      </c>
      <c r="O216" s="3"/>
      <c r="P216" s="3" t="n">
        <v>62.1</v>
      </c>
    </row>
    <row r="217" customFormat="false" ht="15" hidden="false" customHeight="false" outlineLevel="0" collapsed="false">
      <c r="A217" s="3" t="s">
        <v>248</v>
      </c>
      <c r="B217" s="4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/>
      <c r="P217" s="3" t="n">
        <v>45.4</v>
      </c>
    </row>
    <row r="218" customFormat="false" ht="15" hidden="false" customHeight="false" outlineLevel="0" collapsed="false">
      <c r="A218" s="3" t="s">
        <v>249</v>
      </c>
      <c r="B218" s="4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/>
      <c r="P218" s="3" t="n">
        <v>53.3</v>
      </c>
    </row>
    <row r="219" customFormat="false" ht="15" hidden="false" customHeight="false" outlineLevel="0" collapsed="false">
      <c r="A219" s="3" t="s">
        <v>250</v>
      </c>
      <c r="B219" s="4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/>
      <c r="P219" s="3"/>
    </row>
    <row r="220" customFormat="false" ht="15" hidden="false" customHeight="false" outlineLevel="0" collapsed="false">
      <c r="A220" s="3" t="s">
        <v>251</v>
      </c>
      <c r="B220" s="4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1</v>
      </c>
      <c r="N220" s="3" t="n">
        <v>0</v>
      </c>
      <c r="O220" s="3"/>
      <c r="P220" s="3" t="n">
        <v>38.2</v>
      </c>
    </row>
    <row r="221" customFormat="false" ht="15" hidden="false" customHeight="false" outlineLevel="0" collapsed="false">
      <c r="A221" s="3" t="s">
        <v>252</v>
      </c>
      <c r="B221" s="4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3" t="n">
        <v>1</v>
      </c>
      <c r="I221" s="3" t="n">
        <v>1</v>
      </c>
      <c r="J221" s="3" t="n">
        <v>0</v>
      </c>
      <c r="K221" s="3" t="n">
        <v>0</v>
      </c>
      <c r="L221" s="3" t="n">
        <v>0</v>
      </c>
      <c r="M221" s="3" t="n">
        <v>3</v>
      </c>
      <c r="N221" s="3" t="n">
        <v>0</v>
      </c>
      <c r="O221" s="3"/>
      <c r="P221" s="3" t="n">
        <v>59</v>
      </c>
    </row>
    <row r="222" customFormat="false" ht="15" hidden="false" customHeight="false" outlineLevel="0" collapsed="false">
      <c r="A222" s="3" t="s">
        <v>253</v>
      </c>
      <c r="B222" s="4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3" t="n">
        <v>1</v>
      </c>
      <c r="I222" s="3" t="n">
        <v>1</v>
      </c>
      <c r="J222" s="3" t="n">
        <v>1</v>
      </c>
      <c r="K222" s="3" t="n">
        <v>0</v>
      </c>
      <c r="L222" s="3" t="n">
        <v>0</v>
      </c>
      <c r="M222" s="3" t="n">
        <v>0</v>
      </c>
      <c r="N222" s="3" t="n">
        <v>0</v>
      </c>
      <c r="O222" s="3"/>
      <c r="P222" s="3" t="n">
        <v>80.6</v>
      </c>
    </row>
    <row r="223" customFormat="false" ht="15" hidden="false" customHeight="false" outlineLevel="0" collapsed="false">
      <c r="A223" s="3" t="s">
        <v>254</v>
      </c>
      <c r="B223" s="4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/>
      <c r="P223" s="3" t="n">
        <v>67</v>
      </c>
    </row>
    <row r="224" customFormat="false" ht="15" hidden="false" customHeight="false" outlineLevel="0" collapsed="false">
      <c r="A224" s="3" t="s">
        <v>255</v>
      </c>
      <c r="B224" s="4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1</v>
      </c>
      <c r="N224" s="3" t="n">
        <v>0</v>
      </c>
      <c r="O224" s="3"/>
      <c r="P224" s="3" t="n">
        <v>72.1</v>
      </c>
    </row>
    <row r="225" customFormat="false" ht="15" hidden="false" customHeight="false" outlineLevel="0" collapsed="false">
      <c r="A225" s="3" t="s">
        <v>256</v>
      </c>
      <c r="B225" s="4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/>
      <c r="P225" s="3" t="n">
        <v>74.1</v>
      </c>
    </row>
    <row r="226" customFormat="false" ht="15" hidden="false" customHeight="false" outlineLevel="0" collapsed="false">
      <c r="A226" s="3" t="s">
        <v>257</v>
      </c>
      <c r="B226" s="4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/>
      <c r="P226" s="3" t="n">
        <v>84.8</v>
      </c>
    </row>
    <row r="227" customFormat="false" ht="15" hidden="false" customHeight="false" outlineLevel="0" collapsed="false">
      <c r="A227" s="3" t="s">
        <v>258</v>
      </c>
      <c r="B227" s="4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/>
      <c r="P227" s="3" t="n">
        <v>33</v>
      </c>
    </row>
    <row r="228" customFormat="false" ht="15" hidden="false" customHeight="false" outlineLevel="0" collapsed="false">
      <c r="A228" s="3" t="s">
        <v>259</v>
      </c>
      <c r="B228" s="4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/>
      <c r="P228" s="3" t="n">
        <v>52.5</v>
      </c>
    </row>
    <row r="229" customFormat="false" ht="15" hidden="false" customHeight="false" outlineLevel="0" collapsed="false">
      <c r="A229" s="3" t="s">
        <v>260</v>
      </c>
      <c r="B229" s="4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/>
      <c r="P229" s="3" t="n">
        <v>66.9</v>
      </c>
    </row>
    <row r="230" customFormat="false" ht="15" hidden="false" customHeight="false" outlineLevel="0" collapsed="false">
      <c r="A230" s="3" t="s">
        <v>261</v>
      </c>
      <c r="B230" s="4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3" t="n">
        <v>1</v>
      </c>
      <c r="I230" s="3" t="n">
        <v>1</v>
      </c>
      <c r="J230" s="3" t="n">
        <v>1</v>
      </c>
      <c r="K230" s="3" t="n">
        <v>0</v>
      </c>
      <c r="L230" s="3" t="n">
        <v>0</v>
      </c>
      <c r="M230" s="3" t="n">
        <v>1</v>
      </c>
      <c r="N230" s="3" t="n">
        <v>0</v>
      </c>
      <c r="O230" s="3"/>
      <c r="P230" s="3" t="n">
        <v>32.7</v>
      </c>
    </row>
    <row r="231" customFormat="false" ht="15" hidden="false" customHeight="false" outlineLevel="0" collapsed="false">
      <c r="A231" s="3" t="s">
        <v>262</v>
      </c>
      <c r="B231" s="4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3" t="n">
        <v>1</v>
      </c>
      <c r="I231" s="3" t="n">
        <v>1</v>
      </c>
      <c r="J231" s="3" t="n">
        <v>1</v>
      </c>
      <c r="K231" s="3" t="n">
        <v>0</v>
      </c>
      <c r="L231" s="3" t="n">
        <v>0</v>
      </c>
      <c r="M231" s="3" t="n">
        <v>1</v>
      </c>
      <c r="N231" s="3" t="n">
        <v>0</v>
      </c>
      <c r="O231" s="3"/>
      <c r="P231" s="3" t="n">
        <v>70.6</v>
      </c>
    </row>
    <row r="232" customFormat="false" ht="15" hidden="false" customHeight="false" outlineLevel="0" collapsed="false">
      <c r="A232" s="3" t="s">
        <v>263</v>
      </c>
      <c r="B232" s="4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/>
      <c r="P232" s="3" t="n">
        <v>69.4</v>
      </c>
    </row>
    <row r="233" customFormat="false" ht="15" hidden="false" customHeight="false" outlineLevel="0" collapsed="false">
      <c r="A233" s="3" t="s">
        <v>264</v>
      </c>
      <c r="B233" s="4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/>
      <c r="P233" s="3" t="n">
        <v>56.1</v>
      </c>
    </row>
    <row r="234" customFormat="false" ht="15" hidden="false" customHeight="false" outlineLevel="0" collapsed="false">
      <c r="A234" s="3" t="s">
        <v>265</v>
      </c>
      <c r="B234" s="4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/>
      <c r="P234" s="3" t="n">
        <v>55.8</v>
      </c>
    </row>
    <row r="235" customFormat="false" ht="15" hidden="false" customHeight="false" outlineLevel="0" collapsed="false">
      <c r="A235" s="3" t="s">
        <v>266</v>
      </c>
      <c r="B235" s="4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/>
      <c r="P235" s="3" t="n">
        <v>49.3</v>
      </c>
    </row>
    <row r="236" customFormat="false" ht="15" hidden="false" customHeight="false" outlineLevel="0" collapsed="false">
      <c r="A236" s="3" t="s">
        <v>267</v>
      </c>
      <c r="B236" s="4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/>
      <c r="P236" s="3" t="n">
        <v>71.8</v>
      </c>
    </row>
    <row r="237" customFormat="false" ht="15" hidden="false" customHeight="false" outlineLevel="0" collapsed="false">
      <c r="A237" s="3" t="s">
        <v>268</v>
      </c>
      <c r="B237" s="4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</v>
      </c>
      <c r="N237" s="3" t="n">
        <v>0</v>
      </c>
      <c r="O237" s="3"/>
      <c r="P237" s="3" t="n">
        <v>39.7</v>
      </c>
    </row>
    <row r="238" customFormat="false" ht="15" hidden="false" customHeight="false" outlineLevel="0" collapsed="false">
      <c r="A238" s="3" t="s">
        <v>269</v>
      </c>
      <c r="B238" s="4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/>
      <c r="P238" s="3" t="n">
        <v>45.4</v>
      </c>
    </row>
    <row r="239" customFormat="false" ht="15" hidden="false" customHeight="false" outlineLevel="0" collapsed="false">
      <c r="A239" s="3" t="s">
        <v>270</v>
      </c>
      <c r="B239" s="4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/>
      <c r="P239" s="3" t="n">
        <v>69.9</v>
      </c>
    </row>
    <row r="240" customFormat="false" ht="15" hidden="false" customHeight="false" outlineLevel="0" collapsed="false">
      <c r="A240" s="3" t="s">
        <v>271</v>
      </c>
      <c r="B240" s="4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3" t="n">
        <v>1</v>
      </c>
      <c r="I240" s="3" t="n">
        <v>1</v>
      </c>
      <c r="J240" s="3" t="n">
        <v>1</v>
      </c>
      <c r="K240" s="3" t="n">
        <v>0</v>
      </c>
      <c r="L240" s="3" t="n">
        <v>0</v>
      </c>
      <c r="M240" s="3" t="n">
        <v>0</v>
      </c>
      <c r="N240" s="3" t="n">
        <v>0</v>
      </c>
      <c r="O240" s="3"/>
      <c r="P240" s="3" t="n">
        <v>56.1</v>
      </c>
    </row>
    <row r="241" customFormat="false" ht="15" hidden="false" customHeight="false" outlineLevel="0" collapsed="false">
      <c r="A241" s="3" t="s">
        <v>272</v>
      </c>
      <c r="B241" s="4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3" t="n">
        <v>1</v>
      </c>
      <c r="I241" s="3" t="n">
        <v>1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/>
      <c r="P241" s="3" t="n">
        <v>45.9</v>
      </c>
    </row>
    <row r="242" customFormat="false" ht="15" hidden="false" customHeight="false" outlineLevel="0" collapsed="false">
      <c r="A242" s="3" t="s">
        <v>273</v>
      </c>
      <c r="B242" s="4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/>
      <c r="P242" s="3" t="n">
        <v>65.8</v>
      </c>
    </row>
    <row r="243" customFormat="false" ht="15" hidden="false" customHeight="false" outlineLevel="0" collapsed="false">
      <c r="A243" s="3" t="s">
        <v>274</v>
      </c>
      <c r="B243" s="4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/>
      <c r="P243" s="3" t="n">
        <v>48.2</v>
      </c>
    </row>
    <row r="244" customFormat="false" ht="15" hidden="false" customHeight="false" outlineLevel="0" collapsed="false">
      <c r="A244" s="3" t="s">
        <v>275</v>
      </c>
      <c r="B244" s="4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3" t="n">
        <v>1</v>
      </c>
      <c r="I244" s="3" t="n">
        <v>1</v>
      </c>
      <c r="J244" s="3" t="n">
        <v>1</v>
      </c>
      <c r="K244" s="3" t="n">
        <v>0</v>
      </c>
      <c r="L244" s="3" t="n">
        <v>0</v>
      </c>
      <c r="M244" s="3" t="n">
        <v>0</v>
      </c>
      <c r="N244" s="3" t="n">
        <v>0</v>
      </c>
      <c r="O244" s="3"/>
      <c r="P244" s="3" t="n">
        <v>81.1</v>
      </c>
    </row>
    <row r="245" customFormat="false" ht="15" hidden="false" customHeight="false" outlineLevel="0" collapsed="false">
      <c r="A245" s="3" t="s">
        <v>276</v>
      </c>
      <c r="B245" s="4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3" t="n">
        <v>1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/>
      <c r="P245" s="3" t="n">
        <v>53.2</v>
      </c>
    </row>
    <row r="246" customFormat="false" ht="15" hidden="false" customHeight="false" outlineLevel="0" collapsed="false">
      <c r="A246" s="3" t="s">
        <v>277</v>
      </c>
      <c r="B246" s="4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3" t="n">
        <v>1</v>
      </c>
      <c r="I246" s="3" t="n">
        <v>1</v>
      </c>
      <c r="J246" s="3" t="n">
        <v>1</v>
      </c>
      <c r="K246" s="3" t="n">
        <v>0</v>
      </c>
      <c r="L246" s="3" t="n">
        <v>0</v>
      </c>
      <c r="M246" s="3" t="n">
        <v>0</v>
      </c>
      <c r="N246" s="3" t="n">
        <v>0</v>
      </c>
      <c r="O246" s="3"/>
      <c r="P246" s="3" t="n">
        <v>57.7</v>
      </c>
    </row>
    <row r="247" customFormat="false" ht="15" hidden="false" customHeight="false" outlineLevel="0" collapsed="false">
      <c r="A247" s="3" t="s">
        <v>278</v>
      </c>
      <c r="B247" s="4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/>
      <c r="P247" s="3" t="n">
        <v>78.9</v>
      </c>
    </row>
    <row r="248" customFormat="false" ht="15" hidden="false" customHeight="false" outlineLevel="0" collapsed="false">
      <c r="A248" s="3" t="s">
        <v>279</v>
      </c>
      <c r="B248" s="4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/>
      <c r="P248" s="3" t="n">
        <v>55.7</v>
      </c>
    </row>
    <row r="249" customFormat="false" ht="15" hidden="false" customHeight="false" outlineLevel="0" collapsed="false">
      <c r="A249" s="3" t="s">
        <v>280</v>
      </c>
      <c r="B249" s="4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/>
      <c r="P249" s="3" t="n">
        <v>52.3</v>
      </c>
    </row>
    <row r="250" customFormat="false" ht="15" hidden="false" customHeight="false" outlineLevel="0" collapsed="false">
      <c r="A250" s="3" t="s">
        <v>281</v>
      </c>
      <c r="B250" s="4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/>
      <c r="P250" s="3" t="n">
        <v>51.5</v>
      </c>
    </row>
    <row r="251" customFormat="false" ht="15" hidden="false" customHeight="false" outlineLevel="0" collapsed="false">
      <c r="A251" s="3" t="s">
        <v>282</v>
      </c>
      <c r="B251" s="4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/>
      <c r="P251" s="3" t="n">
        <v>70.8</v>
      </c>
    </row>
    <row r="252" customFormat="false" ht="15" hidden="false" customHeight="false" outlineLevel="0" collapsed="false">
      <c r="A252" s="3" t="s">
        <v>283</v>
      </c>
      <c r="B252" s="4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1250.78</v>
      </c>
      <c r="M252" s="3" t="n">
        <v>0</v>
      </c>
      <c r="N252" s="3" t="n">
        <v>0</v>
      </c>
      <c r="O252" s="3" t="n">
        <v>10</v>
      </c>
      <c r="P252" s="3" t="n">
        <v>39</v>
      </c>
    </row>
    <row r="253" customFormat="false" ht="15" hidden="false" customHeight="false" outlineLevel="0" collapsed="false">
      <c r="A253" s="3" t="s">
        <v>284</v>
      </c>
      <c r="B253" s="4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/>
      <c r="P253" s="3" t="n">
        <v>61.6</v>
      </c>
    </row>
    <row r="254" customFormat="false" ht="15" hidden="false" customHeight="false" outlineLevel="0" collapsed="false">
      <c r="A254" s="3" t="s">
        <v>285</v>
      </c>
      <c r="B254" s="4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3" t="n">
        <v>1</v>
      </c>
      <c r="I254" s="3" t="n">
        <v>1</v>
      </c>
      <c r="J254" s="3" t="n">
        <v>1</v>
      </c>
      <c r="K254" s="3" t="n">
        <v>0</v>
      </c>
      <c r="L254" s="3" t="n">
        <v>0</v>
      </c>
      <c r="M254" s="3" t="n">
        <v>0</v>
      </c>
      <c r="N254" s="3" t="n">
        <v>0</v>
      </c>
      <c r="O254" s="3"/>
      <c r="P254" s="3" t="n">
        <v>46.8</v>
      </c>
    </row>
    <row r="255" customFormat="false" ht="15" hidden="false" customHeight="false" outlineLevel="0" collapsed="false">
      <c r="A255" s="3" t="s">
        <v>286</v>
      </c>
      <c r="B255" s="4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</v>
      </c>
      <c r="N255" s="3" t="n">
        <v>0</v>
      </c>
      <c r="O255" s="3"/>
      <c r="P255" s="3" t="n">
        <v>58.5</v>
      </c>
    </row>
    <row r="256" customFormat="false" ht="15" hidden="false" customHeight="false" outlineLevel="0" collapsed="false">
      <c r="A256" s="3" t="s">
        <v>287</v>
      </c>
      <c r="B256" s="4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/>
      <c r="P256" s="3" t="n">
        <v>70.9</v>
      </c>
    </row>
    <row r="257" customFormat="false" ht="15" hidden="false" customHeight="false" outlineLevel="0" collapsed="false">
      <c r="A257" s="3" t="s">
        <v>288</v>
      </c>
      <c r="B257" s="4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/>
      <c r="P257" s="3" t="n">
        <v>48.4</v>
      </c>
    </row>
    <row r="258" customFormat="false" ht="15" hidden="false" customHeight="false" outlineLevel="0" collapsed="false">
      <c r="A258" s="3" t="s">
        <v>289</v>
      </c>
      <c r="B258" s="4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/>
      <c r="P258" s="3" t="n">
        <v>58</v>
      </c>
    </row>
    <row r="259" customFormat="false" ht="15" hidden="false" customHeight="false" outlineLevel="0" collapsed="false">
      <c r="A259" s="3" t="s">
        <v>290</v>
      </c>
      <c r="B259" s="4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/>
      <c r="P259" s="3" t="n">
        <v>61.6</v>
      </c>
    </row>
    <row r="260" customFormat="false" ht="15" hidden="false" customHeight="false" outlineLevel="0" collapsed="false">
      <c r="A260" s="3" t="s">
        <v>291</v>
      </c>
      <c r="B260" s="4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/>
      <c r="P260" s="3" t="n">
        <v>43.2</v>
      </c>
    </row>
    <row r="261" customFormat="false" ht="15" hidden="false" customHeight="false" outlineLevel="0" collapsed="false">
      <c r="A261" s="3" t="s">
        <v>292</v>
      </c>
      <c r="B261" s="4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</v>
      </c>
      <c r="N261" s="3" t="n">
        <v>0</v>
      </c>
      <c r="O261" s="3"/>
      <c r="P261" s="3" t="n">
        <v>53.3</v>
      </c>
    </row>
    <row r="262" customFormat="false" ht="15" hidden="false" customHeight="false" outlineLevel="0" collapsed="false">
      <c r="A262" s="3" t="s">
        <v>293</v>
      </c>
      <c r="B262" s="4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/>
      <c r="P262" s="3" t="n">
        <v>33.9</v>
      </c>
    </row>
    <row r="263" customFormat="false" ht="15" hidden="false" customHeight="false" outlineLevel="0" collapsed="false">
      <c r="A263" s="3" t="s">
        <v>294</v>
      </c>
      <c r="B263" s="4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3" t="n">
        <v>1</v>
      </c>
      <c r="I263" s="3" t="n">
        <v>1</v>
      </c>
      <c r="J263" s="3" t="n">
        <v>1</v>
      </c>
      <c r="K263" s="3" t="n">
        <v>0</v>
      </c>
      <c r="L263" s="3" t="n">
        <v>0</v>
      </c>
      <c r="M263" s="3" t="n">
        <v>0</v>
      </c>
      <c r="N263" s="3" t="n">
        <v>0</v>
      </c>
      <c r="O263" s="3"/>
      <c r="P263" s="3" t="n">
        <v>35.4</v>
      </c>
    </row>
    <row r="264" customFormat="false" ht="15" hidden="false" customHeight="false" outlineLevel="0" collapsed="false">
      <c r="A264" s="3" t="s">
        <v>295</v>
      </c>
      <c r="B264" s="4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/>
      <c r="P264" s="3" t="n">
        <v>45</v>
      </c>
    </row>
    <row r="265" customFormat="false" ht="15" hidden="false" customHeight="false" outlineLevel="0" collapsed="false">
      <c r="A265" s="3" t="s">
        <v>296</v>
      </c>
      <c r="B265" s="4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3" t="n">
        <v>1</v>
      </c>
      <c r="I265" s="3" t="n">
        <v>1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/>
      <c r="P265" s="3" t="n">
        <v>86.5</v>
      </c>
    </row>
    <row r="266" customFormat="false" ht="15" hidden="false" customHeight="false" outlineLevel="0" collapsed="false">
      <c r="A266" s="3" t="s">
        <v>297</v>
      </c>
      <c r="B266" s="4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/>
      <c r="P266" s="3" t="n">
        <v>58.1</v>
      </c>
    </row>
    <row r="267" customFormat="false" ht="15" hidden="false" customHeight="false" outlineLevel="0" collapsed="false">
      <c r="A267" s="3" t="s">
        <v>298</v>
      </c>
      <c r="B267" s="4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/>
      <c r="P267" s="3" t="n">
        <v>36.1</v>
      </c>
    </row>
    <row r="268" customFormat="false" ht="15" hidden="false" customHeight="false" outlineLevel="0" collapsed="false">
      <c r="A268" s="3" t="s">
        <v>299</v>
      </c>
      <c r="B268" s="4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/>
      <c r="P268" s="3" t="n">
        <v>62.8</v>
      </c>
    </row>
    <row r="269" customFormat="false" ht="15" hidden="false" customHeight="false" outlineLevel="0" collapsed="false">
      <c r="A269" s="3" t="s">
        <v>300</v>
      </c>
      <c r="B269" s="4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/>
      <c r="P269" s="3" t="n">
        <v>54.2</v>
      </c>
    </row>
    <row r="270" customFormat="false" ht="15" hidden="false" customHeight="false" outlineLevel="0" collapsed="false">
      <c r="A270" s="3" t="s">
        <v>301</v>
      </c>
      <c r="B270" s="4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/>
      <c r="P270" s="3" t="n">
        <v>50</v>
      </c>
    </row>
    <row r="271" customFormat="false" ht="15" hidden="false" customHeight="false" outlineLevel="0" collapsed="false">
      <c r="A271" s="3" t="s">
        <v>302</v>
      </c>
      <c r="B271" s="4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/>
      <c r="P271" s="3" t="n">
        <v>62</v>
      </c>
    </row>
    <row r="272" customFormat="false" ht="15" hidden="false" customHeight="false" outlineLevel="0" collapsed="false">
      <c r="A272" s="3" t="s">
        <v>303</v>
      </c>
      <c r="B272" s="4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/>
      <c r="P272" s="3" t="n">
        <v>29.3</v>
      </c>
    </row>
    <row r="273" customFormat="false" ht="15" hidden="false" customHeight="false" outlineLevel="0" collapsed="false">
      <c r="A273" s="3" t="s">
        <v>304</v>
      </c>
      <c r="B273" s="4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/>
      <c r="P273" s="3" t="n">
        <v>67.9</v>
      </c>
    </row>
    <row r="274" customFormat="false" ht="15" hidden="false" customHeight="false" outlineLevel="0" collapsed="false">
      <c r="A274" s="3" t="s">
        <v>305</v>
      </c>
      <c r="B274" s="4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3" t="n">
        <v>1</v>
      </c>
      <c r="I274" s="3" t="n">
        <v>1</v>
      </c>
      <c r="J274" s="3" t="n">
        <v>1</v>
      </c>
      <c r="K274" s="3" t="n">
        <v>0</v>
      </c>
      <c r="L274" s="3" t="n">
        <v>0</v>
      </c>
      <c r="M274" s="3" t="n">
        <v>0</v>
      </c>
      <c r="N274" s="3" t="n">
        <v>0</v>
      </c>
      <c r="O274" s="3"/>
      <c r="P274" s="3" t="n">
        <v>67.6</v>
      </c>
    </row>
    <row r="275" customFormat="false" ht="15" hidden="false" customHeight="false" outlineLevel="0" collapsed="false">
      <c r="A275" s="3" t="s">
        <v>306</v>
      </c>
      <c r="B275" s="4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/>
      <c r="P275" s="3" t="n">
        <v>67.4</v>
      </c>
    </row>
    <row r="276" customFormat="false" ht="15" hidden="false" customHeight="false" outlineLevel="0" collapsed="false">
      <c r="A276" s="3" t="s">
        <v>307</v>
      </c>
      <c r="B276" s="4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2</v>
      </c>
      <c r="N276" s="3" t="n">
        <v>0</v>
      </c>
      <c r="O276" s="3"/>
      <c r="P276" s="3" t="n">
        <v>53</v>
      </c>
    </row>
    <row r="277" customFormat="false" ht="15" hidden="false" customHeight="false" outlineLevel="0" collapsed="false">
      <c r="A277" s="3" t="s">
        <v>308</v>
      </c>
      <c r="B277" s="4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/>
      <c r="P277" s="3" t="n">
        <v>65.5</v>
      </c>
    </row>
    <row r="278" customFormat="false" ht="15" hidden="false" customHeight="false" outlineLevel="0" collapsed="false">
      <c r="A278" s="3" t="s">
        <v>309</v>
      </c>
      <c r="B278" s="4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/>
      <c r="P278" s="3" t="n">
        <v>49.6</v>
      </c>
    </row>
    <row r="279" customFormat="false" ht="15" hidden="false" customHeight="false" outlineLevel="0" collapsed="false">
      <c r="A279" s="3" t="s">
        <v>310</v>
      </c>
      <c r="B279" s="4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/>
      <c r="P279" s="3" t="n">
        <v>74.5</v>
      </c>
    </row>
    <row r="280" customFormat="false" ht="15" hidden="false" customHeight="false" outlineLevel="0" collapsed="false">
      <c r="A280" s="3" t="s">
        <v>311</v>
      </c>
      <c r="B280" s="4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3" t="n">
        <v>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1</v>
      </c>
      <c r="N280" s="3" t="n">
        <v>0</v>
      </c>
      <c r="O280" s="3"/>
      <c r="P280" s="3" t="n">
        <v>46.9</v>
      </c>
    </row>
    <row r="281" customFormat="false" ht="15" hidden="false" customHeight="false" outlineLevel="0" collapsed="false">
      <c r="A281" s="3" t="s">
        <v>312</v>
      </c>
      <c r="B281" s="4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/>
      <c r="P281" s="3" t="n">
        <v>87.1</v>
      </c>
    </row>
    <row r="282" customFormat="false" ht="15" hidden="false" customHeight="false" outlineLevel="0" collapsed="false">
      <c r="A282" s="3" t="s">
        <v>313</v>
      </c>
      <c r="B282" s="4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/>
      <c r="P282" s="3" t="n">
        <v>56</v>
      </c>
    </row>
    <row r="283" customFormat="false" ht="15" hidden="false" customHeight="false" outlineLevel="0" collapsed="false">
      <c r="A283" s="3" t="s">
        <v>314</v>
      </c>
      <c r="B283" s="4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3" t="n">
        <v>1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0</v>
      </c>
      <c r="O283" s="3"/>
      <c r="P283" s="3" t="n">
        <v>61.7</v>
      </c>
    </row>
    <row r="284" customFormat="false" ht="15" hidden="false" customHeight="false" outlineLevel="0" collapsed="false">
      <c r="A284" s="3" t="s">
        <v>315</v>
      </c>
      <c r="B284" s="4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3" t="n">
        <v>1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1</v>
      </c>
      <c r="N284" s="3" t="n">
        <v>0</v>
      </c>
      <c r="O284" s="3"/>
      <c r="P284" s="3" t="n">
        <v>70.5</v>
      </c>
    </row>
    <row r="285" customFormat="false" ht="15" hidden="false" customHeight="false" outlineLevel="0" collapsed="false">
      <c r="A285" s="3" t="s">
        <v>316</v>
      </c>
      <c r="B285" s="4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3" t="n">
        <v>1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/>
      <c r="P285" s="3" t="n">
        <v>33.4</v>
      </c>
    </row>
    <row r="286" customFormat="false" ht="15" hidden="false" customHeight="false" outlineLevel="0" collapsed="false">
      <c r="A286" s="3" t="s">
        <v>317</v>
      </c>
      <c r="B286" s="4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3" t="n">
        <v>1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/>
      <c r="P286" s="3" t="n">
        <v>57.5</v>
      </c>
    </row>
    <row r="287" customFormat="false" ht="15" hidden="false" customHeight="false" outlineLevel="0" collapsed="false">
      <c r="A287" s="3" t="s">
        <v>318</v>
      </c>
      <c r="B287" s="4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/>
      <c r="P287" s="3" t="n">
        <v>85.7</v>
      </c>
    </row>
    <row r="288" customFormat="false" ht="15" hidden="false" customHeight="false" outlineLevel="0" collapsed="false">
      <c r="A288" s="3" t="s">
        <v>319</v>
      </c>
      <c r="B288" s="4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/>
      <c r="P288" s="3" t="n">
        <v>41.9</v>
      </c>
    </row>
    <row r="289" customFormat="false" ht="15" hidden="false" customHeight="false" outlineLevel="0" collapsed="false">
      <c r="A289" s="3" t="s">
        <v>320</v>
      </c>
      <c r="B289" s="4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3" t="n">
        <v>1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/>
      <c r="P289" s="3" t="n">
        <v>70.2</v>
      </c>
    </row>
    <row r="290" customFormat="false" ht="15" hidden="false" customHeight="false" outlineLevel="0" collapsed="false">
      <c r="A290" s="3" t="s">
        <v>321</v>
      </c>
      <c r="B290" s="4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3" t="n">
        <v>1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/>
      <c r="P290" s="3" t="n">
        <v>42.6</v>
      </c>
    </row>
    <row r="291" customFormat="false" ht="15" hidden="false" customHeight="false" outlineLevel="0" collapsed="false">
      <c r="A291" s="3" t="s">
        <v>322</v>
      </c>
      <c r="B291" s="4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2</v>
      </c>
      <c r="N291" s="3" t="n">
        <v>0</v>
      </c>
      <c r="O291" s="3"/>
      <c r="P291" s="3" t="n">
        <v>30.4</v>
      </c>
    </row>
    <row r="292" customFormat="false" ht="15" hidden="false" customHeight="false" outlineLevel="0" collapsed="false">
      <c r="A292" s="3" t="s">
        <v>323</v>
      </c>
      <c r="B292" s="4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/>
      <c r="P292" s="3" t="n">
        <v>63.7</v>
      </c>
    </row>
    <row r="293" customFormat="false" ht="15" hidden="false" customHeight="false" outlineLevel="0" collapsed="false">
      <c r="A293" s="3" t="s">
        <v>324</v>
      </c>
      <c r="B293" s="4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/>
      <c r="P293" s="3" t="n">
        <v>42.7</v>
      </c>
    </row>
    <row r="294" customFormat="false" ht="15" hidden="false" customHeight="false" outlineLevel="0" collapsed="false">
      <c r="A294" s="3" t="s">
        <v>325</v>
      </c>
      <c r="B294" s="4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/>
      <c r="P294" s="3" t="n">
        <v>74.3</v>
      </c>
    </row>
    <row r="295" customFormat="false" ht="15" hidden="false" customHeight="false" outlineLevel="0" collapsed="false">
      <c r="A295" s="3" t="s">
        <v>326</v>
      </c>
      <c r="B295" s="4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3" t="n">
        <v>1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/>
      <c r="P295" s="3" t="n">
        <v>40.6</v>
      </c>
    </row>
    <row r="296" customFormat="false" ht="15" hidden="false" customHeight="false" outlineLevel="0" collapsed="false">
      <c r="A296" s="3" t="s">
        <v>327</v>
      </c>
      <c r="B296" s="4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/>
      <c r="P296" s="3" t="n">
        <v>67</v>
      </c>
    </row>
    <row r="297" customFormat="false" ht="15" hidden="false" customHeight="false" outlineLevel="0" collapsed="false">
      <c r="A297" s="3" t="s">
        <v>328</v>
      </c>
      <c r="B297" s="4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/>
      <c r="P297" s="3" t="n">
        <v>51</v>
      </c>
    </row>
    <row r="298" customFormat="false" ht="15" hidden="false" customHeight="false" outlineLevel="0" collapsed="false">
      <c r="A298" s="3" t="s">
        <v>329</v>
      </c>
      <c r="B298" s="4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n">
        <v>1</v>
      </c>
      <c r="N298" s="3" t="n">
        <v>0</v>
      </c>
      <c r="O298" s="3"/>
      <c r="P298" s="3" t="n">
        <v>54.8</v>
      </c>
    </row>
    <row r="299" customFormat="false" ht="15" hidden="false" customHeight="false" outlineLevel="0" collapsed="false">
      <c r="A299" s="3" t="s">
        <v>330</v>
      </c>
      <c r="B299" s="4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/>
      <c r="P299" s="3" t="n">
        <v>40.8</v>
      </c>
    </row>
    <row r="300" customFormat="false" ht="15" hidden="false" customHeight="false" outlineLevel="0" collapsed="false">
      <c r="A300" s="3" t="s">
        <v>331</v>
      </c>
      <c r="B300" s="4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/>
      <c r="P300" s="3" t="n">
        <v>48.8</v>
      </c>
    </row>
    <row r="301" customFormat="false" ht="15" hidden="false" customHeight="false" outlineLevel="0" collapsed="false">
      <c r="A301" s="3" t="s">
        <v>332</v>
      </c>
      <c r="B301" s="4" t="n">
        <v>45681</v>
      </c>
      <c r="C301" s="3" t="s">
        <v>17</v>
      </c>
      <c r="D301" s="3" t="s">
        <v>32</v>
      </c>
      <c r="E301" s="3" t="s">
        <v>24</v>
      </c>
      <c r="F301" s="3" t="s">
        <v>156</v>
      </c>
      <c r="G301" s="3" t="s">
        <v>21</v>
      </c>
      <c r="H301" s="3" t="n">
        <v>1</v>
      </c>
      <c r="I301" s="3" t="n">
        <v>1</v>
      </c>
      <c r="J301" s="3" t="n">
        <v>1</v>
      </c>
      <c r="K301" s="3" t="n">
        <v>1</v>
      </c>
      <c r="L301" s="3" t="n">
        <v>1198.69</v>
      </c>
      <c r="M301" s="3" t="n">
        <v>1</v>
      </c>
      <c r="N301" s="3" t="n">
        <v>0</v>
      </c>
      <c r="O301" s="3" t="n">
        <v>6</v>
      </c>
      <c r="P301" s="3" t="n">
        <v>88.9</v>
      </c>
    </row>
    <row r="302" customFormat="false" ht="15" hidden="false" customHeight="false" outlineLevel="0" collapsed="false">
      <c r="A302" s="3" t="s">
        <v>333</v>
      </c>
      <c r="B302" s="4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3" t="n">
        <v>1</v>
      </c>
      <c r="I302" s="3" t="n">
        <v>1</v>
      </c>
      <c r="J302" s="3" t="n">
        <v>1</v>
      </c>
      <c r="K302" s="3" t="n">
        <v>0</v>
      </c>
      <c r="L302" s="3" t="n">
        <v>0</v>
      </c>
      <c r="M302" s="3" t="n">
        <v>1</v>
      </c>
      <c r="N302" s="3" t="n">
        <v>0</v>
      </c>
      <c r="O302" s="3"/>
      <c r="P302" s="3" t="n">
        <v>60.5</v>
      </c>
    </row>
    <row r="303" customFormat="false" ht="15" hidden="false" customHeight="false" outlineLevel="0" collapsed="false">
      <c r="A303" s="3" t="s">
        <v>334</v>
      </c>
      <c r="B303" s="4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3" t="n">
        <v>1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/>
      <c r="P303" s="3" t="n">
        <v>63.6</v>
      </c>
    </row>
    <row r="304" customFormat="false" ht="15" hidden="false" customHeight="false" outlineLevel="0" collapsed="false">
      <c r="A304" s="3" t="s">
        <v>335</v>
      </c>
      <c r="B304" s="4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3" t="n">
        <v>1</v>
      </c>
      <c r="I304" s="3" t="n">
        <v>1</v>
      </c>
      <c r="J304" s="3" t="n">
        <v>1</v>
      </c>
      <c r="K304" s="3" t="n">
        <v>1</v>
      </c>
      <c r="L304" s="3" t="n">
        <v>6788.95</v>
      </c>
      <c r="M304" s="3" t="n">
        <v>0</v>
      </c>
      <c r="N304" s="3" t="n">
        <v>0</v>
      </c>
      <c r="O304" s="3" t="n">
        <v>17</v>
      </c>
      <c r="P304" s="3" t="n">
        <v>58.4</v>
      </c>
    </row>
    <row r="305" customFormat="false" ht="15" hidden="false" customHeight="false" outlineLevel="0" collapsed="false">
      <c r="A305" s="3" t="s">
        <v>336</v>
      </c>
      <c r="B305" s="4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/>
      <c r="P305" s="3" t="n">
        <v>52.7</v>
      </c>
    </row>
    <row r="306" customFormat="false" ht="15" hidden="false" customHeight="false" outlineLevel="0" collapsed="false">
      <c r="A306" s="3" t="s">
        <v>337</v>
      </c>
      <c r="B306" s="4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3" t="n">
        <v>1</v>
      </c>
      <c r="I306" s="3" t="n">
        <v>1</v>
      </c>
      <c r="J306" s="3" t="n">
        <v>1</v>
      </c>
      <c r="K306" s="3" t="n">
        <v>0</v>
      </c>
      <c r="L306" s="3" t="n">
        <v>0</v>
      </c>
      <c r="M306" s="3" t="n">
        <v>2</v>
      </c>
      <c r="N306" s="3" t="n">
        <v>0</v>
      </c>
      <c r="O306" s="3"/>
      <c r="P306" s="3" t="n">
        <v>48.9</v>
      </c>
    </row>
    <row r="307" customFormat="false" ht="15" hidden="false" customHeight="false" outlineLevel="0" collapsed="false">
      <c r="A307" s="3" t="s">
        <v>338</v>
      </c>
      <c r="B307" s="4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/>
      <c r="P307" s="3" t="n">
        <v>79.7</v>
      </c>
    </row>
    <row r="308" customFormat="false" ht="15" hidden="false" customHeight="false" outlineLevel="0" collapsed="false">
      <c r="A308" s="3" t="s">
        <v>339</v>
      </c>
      <c r="B308" s="4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3" t="n">
        <v>1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/>
      <c r="P308" s="3" t="n">
        <v>44.9</v>
      </c>
    </row>
    <row r="309" customFormat="false" ht="15" hidden="false" customHeight="false" outlineLevel="0" collapsed="false">
      <c r="A309" s="3" t="s">
        <v>340</v>
      </c>
      <c r="B309" s="4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3" t="n">
        <v>1</v>
      </c>
      <c r="I309" s="3" t="n">
        <v>1</v>
      </c>
      <c r="J309" s="3" t="n">
        <v>1</v>
      </c>
      <c r="K309" s="3" t="n">
        <v>1</v>
      </c>
      <c r="L309" s="3" t="n">
        <v>409.39</v>
      </c>
      <c r="M309" s="3" t="n">
        <v>0</v>
      </c>
      <c r="N309" s="3" t="n">
        <v>0</v>
      </c>
      <c r="O309" s="3" t="n">
        <v>10</v>
      </c>
      <c r="P309" s="3" t="n">
        <v>38.8</v>
      </c>
    </row>
    <row r="310" customFormat="false" ht="15" hidden="false" customHeight="false" outlineLevel="0" collapsed="false">
      <c r="A310" s="3" t="s">
        <v>341</v>
      </c>
      <c r="B310" s="4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/>
      <c r="P310" s="3" t="n">
        <v>70</v>
      </c>
    </row>
    <row r="311" customFormat="false" ht="15" hidden="false" customHeight="false" outlineLevel="0" collapsed="false">
      <c r="A311" s="3" t="s">
        <v>342</v>
      </c>
      <c r="B311" s="4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3" t="n">
        <v>1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/>
      <c r="P311" s="3" t="n">
        <v>77.7</v>
      </c>
    </row>
    <row r="312" customFormat="false" ht="15" hidden="false" customHeight="false" outlineLevel="0" collapsed="false">
      <c r="A312" s="3" t="s">
        <v>343</v>
      </c>
      <c r="B312" s="4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/>
      <c r="P312" s="3" t="n">
        <v>71.2</v>
      </c>
    </row>
    <row r="313" customFormat="false" ht="15" hidden="false" customHeight="false" outlineLevel="0" collapsed="false">
      <c r="A313" s="3" t="s">
        <v>344</v>
      </c>
      <c r="B313" s="4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3" t="n">
        <v>1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/>
      <c r="P313" s="3" t="n">
        <v>43.8</v>
      </c>
    </row>
    <row r="314" customFormat="false" ht="15" hidden="false" customHeight="false" outlineLevel="0" collapsed="false">
      <c r="A314" s="3" t="s">
        <v>345</v>
      </c>
      <c r="B314" s="4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3" t="n">
        <v>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/>
      <c r="P314" s="3" t="n">
        <v>50.9</v>
      </c>
    </row>
    <row r="315" customFormat="false" ht="15" hidden="false" customHeight="false" outlineLevel="0" collapsed="false">
      <c r="A315" s="3" t="s">
        <v>346</v>
      </c>
      <c r="B315" s="4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/>
      <c r="P315" s="3" t="n">
        <v>58.5</v>
      </c>
    </row>
    <row r="316" customFormat="false" ht="15" hidden="false" customHeight="false" outlineLevel="0" collapsed="false">
      <c r="A316" s="3" t="s">
        <v>347</v>
      </c>
      <c r="B316" s="4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3" t="n">
        <v>1</v>
      </c>
      <c r="I316" s="3" t="n">
        <v>1</v>
      </c>
      <c r="J316" s="3" t="n">
        <v>1</v>
      </c>
      <c r="K316" s="3" t="n">
        <v>0</v>
      </c>
      <c r="L316" s="3" t="n">
        <v>0</v>
      </c>
      <c r="M316" s="3" t="n">
        <v>0</v>
      </c>
      <c r="N316" s="3" t="n">
        <v>0</v>
      </c>
      <c r="O316" s="3"/>
      <c r="P316" s="3" t="n">
        <v>53.6</v>
      </c>
    </row>
    <row r="317" customFormat="false" ht="15" hidden="false" customHeight="false" outlineLevel="0" collapsed="false">
      <c r="A317" s="3" t="s">
        <v>348</v>
      </c>
      <c r="B317" s="4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/>
      <c r="P317" s="3" t="n">
        <v>54.9</v>
      </c>
    </row>
    <row r="318" customFormat="false" ht="15" hidden="false" customHeight="false" outlineLevel="0" collapsed="false">
      <c r="A318" s="3" t="s">
        <v>349</v>
      </c>
      <c r="B318" s="4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/>
      <c r="P318" s="3" t="n">
        <v>57.3</v>
      </c>
    </row>
    <row r="319" customFormat="false" ht="15" hidden="false" customHeight="false" outlineLevel="0" collapsed="false">
      <c r="A319" s="3" t="s">
        <v>350</v>
      </c>
      <c r="B319" s="4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3" t="n">
        <v>1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/>
      <c r="P319" s="3" t="n">
        <v>52.1</v>
      </c>
    </row>
    <row r="320" customFormat="false" ht="15" hidden="false" customHeight="false" outlineLevel="0" collapsed="false">
      <c r="A320" s="3" t="s">
        <v>351</v>
      </c>
      <c r="B320" s="4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3" t="n">
        <v>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/>
      <c r="P320" s="3" t="n">
        <v>80</v>
      </c>
    </row>
    <row r="321" customFormat="false" ht="15" hidden="false" customHeight="false" outlineLevel="0" collapsed="false">
      <c r="A321" s="3" t="s">
        <v>352</v>
      </c>
      <c r="B321" s="4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3" t="n">
        <v>1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/>
      <c r="P321" s="3" t="n">
        <v>39.3</v>
      </c>
    </row>
    <row r="322" customFormat="false" ht="15" hidden="false" customHeight="false" outlineLevel="0" collapsed="false">
      <c r="A322" s="3" t="s">
        <v>353</v>
      </c>
      <c r="B322" s="4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/>
      <c r="P322" s="3" t="n">
        <v>45.7</v>
      </c>
    </row>
    <row r="323" customFormat="false" ht="15" hidden="false" customHeight="false" outlineLevel="0" collapsed="false">
      <c r="A323" s="3" t="s">
        <v>354</v>
      </c>
      <c r="B323" s="4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3" t="n">
        <v>1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2</v>
      </c>
      <c r="N323" s="3" t="n">
        <v>0</v>
      </c>
      <c r="O323" s="3"/>
      <c r="P323" s="3" t="n">
        <v>61.2</v>
      </c>
    </row>
    <row r="324" customFormat="false" ht="15" hidden="false" customHeight="false" outlineLevel="0" collapsed="false">
      <c r="A324" s="3" t="s">
        <v>355</v>
      </c>
      <c r="B324" s="4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/>
      <c r="P324" s="3" t="n">
        <v>66.2</v>
      </c>
    </row>
    <row r="325" customFormat="false" ht="15" hidden="false" customHeight="false" outlineLevel="0" collapsed="false">
      <c r="A325" s="3" t="s">
        <v>356</v>
      </c>
      <c r="B325" s="4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3" t="n">
        <v>1</v>
      </c>
      <c r="I325" s="3" t="n">
        <v>1</v>
      </c>
      <c r="J325" s="3" t="n">
        <v>1</v>
      </c>
      <c r="K325" s="3" t="n">
        <v>0</v>
      </c>
      <c r="L325" s="3" t="n">
        <v>0</v>
      </c>
      <c r="M325" s="3" t="n">
        <v>0</v>
      </c>
      <c r="N325" s="3" t="n">
        <v>0</v>
      </c>
      <c r="O325" s="3"/>
      <c r="P325" s="3" t="n">
        <v>61.3</v>
      </c>
    </row>
    <row r="326" customFormat="false" ht="15" hidden="false" customHeight="false" outlineLevel="0" collapsed="false">
      <c r="A326" s="3" t="s">
        <v>357</v>
      </c>
      <c r="B326" s="4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3" t="n">
        <v>1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/>
      <c r="P326" s="3" t="n">
        <v>72.2</v>
      </c>
    </row>
    <row r="327" customFormat="false" ht="15" hidden="false" customHeight="false" outlineLevel="0" collapsed="false">
      <c r="A327" s="3" t="s">
        <v>358</v>
      </c>
      <c r="B327" s="4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3" t="n">
        <v>1</v>
      </c>
      <c r="I327" s="3" t="n">
        <v>1</v>
      </c>
      <c r="J327" s="3" t="n">
        <v>1</v>
      </c>
      <c r="K327" s="3" t="n">
        <v>0</v>
      </c>
      <c r="L327" s="3" t="n">
        <v>0</v>
      </c>
      <c r="M327" s="3" t="n">
        <v>0</v>
      </c>
      <c r="N327" s="3" t="n">
        <v>0</v>
      </c>
      <c r="O327" s="3"/>
      <c r="P327" s="3" t="n">
        <v>84</v>
      </c>
    </row>
    <row r="328" customFormat="false" ht="15" hidden="false" customHeight="false" outlineLevel="0" collapsed="false">
      <c r="A328" s="3" t="s">
        <v>359</v>
      </c>
      <c r="B328" s="4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/>
      <c r="P328" s="3" t="n">
        <v>59.8</v>
      </c>
    </row>
    <row r="329" customFormat="false" ht="15" hidden="false" customHeight="false" outlineLevel="0" collapsed="false">
      <c r="A329" s="3" t="s">
        <v>360</v>
      </c>
      <c r="B329" s="4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3" t="n">
        <v>1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/>
      <c r="P329" s="3" t="n">
        <v>64.9</v>
      </c>
    </row>
    <row r="330" customFormat="false" ht="15" hidden="false" customHeight="false" outlineLevel="0" collapsed="false">
      <c r="A330" s="3" t="s">
        <v>361</v>
      </c>
      <c r="B330" s="4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3" t="n">
        <v>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/>
      <c r="P330" s="3" t="n">
        <v>66.8</v>
      </c>
    </row>
    <row r="331" customFormat="false" ht="15" hidden="false" customHeight="false" outlineLevel="0" collapsed="false">
      <c r="A331" s="3" t="s">
        <v>362</v>
      </c>
      <c r="B331" s="4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/>
      <c r="P331" s="3" t="n">
        <v>70.9</v>
      </c>
    </row>
    <row r="332" customFormat="false" ht="15" hidden="false" customHeight="false" outlineLevel="0" collapsed="false">
      <c r="A332" s="3" t="s">
        <v>363</v>
      </c>
      <c r="B332" s="4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426.82</v>
      </c>
      <c r="M332" s="3" t="n">
        <v>1</v>
      </c>
      <c r="N332" s="3" t="n">
        <v>0</v>
      </c>
      <c r="O332" s="3" t="n">
        <v>14</v>
      </c>
      <c r="P332" s="3" t="n">
        <v>68.8</v>
      </c>
    </row>
    <row r="333" customFormat="false" ht="15" hidden="false" customHeight="false" outlineLevel="0" collapsed="false">
      <c r="A333" s="3" t="s">
        <v>364</v>
      </c>
      <c r="B333" s="4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3" t="n">
        <v>1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/>
      <c r="P333" s="3" t="n">
        <v>72.4</v>
      </c>
    </row>
    <row r="334" customFormat="false" ht="15" hidden="false" customHeight="false" outlineLevel="0" collapsed="false">
      <c r="A334" s="3" t="s">
        <v>365</v>
      </c>
      <c r="B334" s="4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/>
      <c r="P334" s="3" t="n">
        <v>63.3</v>
      </c>
    </row>
    <row r="335" customFormat="false" ht="15" hidden="false" customHeight="false" outlineLevel="0" collapsed="false">
      <c r="A335" s="3" t="s">
        <v>366</v>
      </c>
      <c r="B335" s="4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3" t="n">
        <v>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/>
      <c r="P335" s="3" t="n">
        <v>30.8</v>
      </c>
    </row>
    <row r="336" customFormat="false" ht="15" hidden="false" customHeight="false" outlineLevel="0" collapsed="false">
      <c r="A336" s="3" t="s">
        <v>367</v>
      </c>
      <c r="B336" s="4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874.55</v>
      </c>
      <c r="M336" s="3" t="n">
        <v>0</v>
      </c>
      <c r="N336" s="3" t="n">
        <v>0</v>
      </c>
      <c r="O336" s="3" t="n">
        <v>9</v>
      </c>
      <c r="P336" s="3" t="n">
        <v>44.2</v>
      </c>
    </row>
    <row r="337" customFormat="false" ht="15" hidden="false" customHeight="false" outlineLevel="0" collapsed="false">
      <c r="A337" s="3" t="s">
        <v>368</v>
      </c>
      <c r="B337" s="4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2206.88</v>
      </c>
      <c r="M337" s="3" t="n">
        <v>0</v>
      </c>
      <c r="N337" s="3" t="n">
        <v>0</v>
      </c>
      <c r="O337" s="3" t="n">
        <v>10</v>
      </c>
      <c r="P337" s="3" t="n">
        <v>56.2</v>
      </c>
    </row>
    <row r="338" customFormat="false" ht="15" hidden="false" customHeight="false" outlineLevel="0" collapsed="false">
      <c r="A338" s="3" t="s">
        <v>369</v>
      </c>
      <c r="B338" s="4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/>
      <c r="P338" s="3" t="n">
        <v>40.4</v>
      </c>
    </row>
    <row r="339" customFormat="false" ht="15" hidden="false" customHeight="false" outlineLevel="0" collapsed="false">
      <c r="A339" s="3" t="s">
        <v>370</v>
      </c>
      <c r="B339" s="4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3" t="n">
        <v>1</v>
      </c>
      <c r="I339" s="3" t="n">
        <v>1</v>
      </c>
      <c r="J339" s="3" t="n">
        <v>1</v>
      </c>
      <c r="K339" s="3" t="n">
        <v>0</v>
      </c>
      <c r="L339" s="3" t="n">
        <v>0</v>
      </c>
      <c r="M339" s="3" t="n">
        <v>0</v>
      </c>
      <c r="N339" s="3" t="n">
        <v>0</v>
      </c>
      <c r="O339" s="3"/>
      <c r="P339" s="3" t="n">
        <v>68.1</v>
      </c>
    </row>
    <row r="340" customFormat="false" ht="15" hidden="false" customHeight="false" outlineLevel="0" collapsed="false">
      <c r="A340" s="3" t="s">
        <v>371</v>
      </c>
      <c r="B340" s="4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3" t="n">
        <v>1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/>
      <c r="P340" s="3" t="n">
        <v>86.3</v>
      </c>
    </row>
    <row r="341" customFormat="false" ht="15" hidden="false" customHeight="false" outlineLevel="0" collapsed="false">
      <c r="A341" s="3" t="s">
        <v>372</v>
      </c>
      <c r="B341" s="4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/>
      <c r="P341" s="3" t="n">
        <v>42.9</v>
      </c>
    </row>
    <row r="342" customFormat="false" ht="15" hidden="false" customHeight="false" outlineLevel="0" collapsed="false">
      <c r="A342" s="3" t="s">
        <v>373</v>
      </c>
      <c r="B342" s="4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/>
      <c r="P342" s="3" t="n">
        <v>61.4</v>
      </c>
    </row>
    <row r="343" customFormat="false" ht="15" hidden="false" customHeight="false" outlineLevel="0" collapsed="false">
      <c r="A343" s="3" t="s">
        <v>374</v>
      </c>
      <c r="B343" s="4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3" t="n">
        <v>1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</v>
      </c>
      <c r="N343" s="3" t="n">
        <v>0</v>
      </c>
      <c r="O343" s="3"/>
      <c r="P343" s="3" t="n">
        <v>73.3</v>
      </c>
    </row>
    <row r="344" customFormat="false" ht="15" hidden="false" customHeight="false" outlineLevel="0" collapsed="false">
      <c r="A344" s="3" t="s">
        <v>375</v>
      </c>
      <c r="B344" s="4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3" t="n">
        <v>1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/>
      <c r="P344" s="3" t="n">
        <v>59.4</v>
      </c>
    </row>
    <row r="345" customFormat="false" ht="15" hidden="false" customHeight="false" outlineLevel="0" collapsed="false">
      <c r="A345" s="3" t="s">
        <v>376</v>
      </c>
      <c r="B345" s="4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3" t="n">
        <v>1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/>
      <c r="P345" s="3" t="n">
        <v>35.2</v>
      </c>
    </row>
    <row r="346" customFormat="false" ht="15" hidden="false" customHeight="false" outlineLevel="0" collapsed="false">
      <c r="A346" s="3" t="s">
        <v>377</v>
      </c>
      <c r="B346" s="4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/>
      <c r="P346" s="3" t="n">
        <v>55.3</v>
      </c>
    </row>
    <row r="347" customFormat="false" ht="15" hidden="false" customHeight="false" outlineLevel="0" collapsed="false">
      <c r="A347" s="3" t="s">
        <v>378</v>
      </c>
      <c r="B347" s="4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/>
      <c r="P347" s="3" t="n">
        <v>37.5</v>
      </c>
    </row>
    <row r="348" customFormat="false" ht="15" hidden="false" customHeight="false" outlineLevel="0" collapsed="false">
      <c r="A348" s="3" t="s">
        <v>379</v>
      </c>
      <c r="B348" s="4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1</v>
      </c>
      <c r="N348" s="3" t="n">
        <v>0</v>
      </c>
      <c r="O348" s="3"/>
      <c r="P348" s="3" t="n">
        <v>66.4</v>
      </c>
    </row>
    <row r="349" customFormat="false" ht="15" hidden="false" customHeight="false" outlineLevel="0" collapsed="false">
      <c r="A349" s="3" t="s">
        <v>380</v>
      </c>
      <c r="B349" s="4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3" t="n">
        <v>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/>
      <c r="P349" s="3" t="n">
        <v>61.9</v>
      </c>
    </row>
    <row r="350" customFormat="false" ht="15" hidden="false" customHeight="false" outlineLevel="0" collapsed="false">
      <c r="A350" s="3" t="s">
        <v>381</v>
      </c>
      <c r="B350" s="4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/>
      <c r="P350" s="3" t="n">
        <v>56</v>
      </c>
    </row>
    <row r="351" customFormat="false" ht="15" hidden="false" customHeight="false" outlineLevel="0" collapsed="false">
      <c r="A351" s="3" t="s">
        <v>382</v>
      </c>
      <c r="B351" s="4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3" t="n">
        <v>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/>
      <c r="P351" s="3" t="n">
        <v>55.5</v>
      </c>
    </row>
    <row r="352" customFormat="false" ht="15" hidden="false" customHeight="false" outlineLevel="0" collapsed="false">
      <c r="A352" s="3" t="s">
        <v>383</v>
      </c>
      <c r="B352" s="4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3" t="n">
        <v>1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/>
      <c r="P352" s="3" t="n">
        <v>37.2</v>
      </c>
    </row>
    <row r="353" customFormat="false" ht="15" hidden="false" customHeight="false" outlineLevel="0" collapsed="false">
      <c r="A353" s="3" t="s">
        <v>384</v>
      </c>
      <c r="B353" s="4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3" t="n">
        <v>1</v>
      </c>
      <c r="I353" s="3" t="n">
        <v>1</v>
      </c>
      <c r="J353" s="3" t="n">
        <v>0</v>
      </c>
      <c r="K353" s="3" t="n">
        <v>0</v>
      </c>
      <c r="L353" s="3" t="n">
        <v>0</v>
      </c>
      <c r="M353" s="3" t="n">
        <v>1</v>
      </c>
      <c r="N353" s="3" t="n">
        <v>0</v>
      </c>
      <c r="O353" s="3"/>
      <c r="P353" s="3" t="n">
        <v>70.5</v>
      </c>
    </row>
    <row r="354" customFormat="false" ht="15" hidden="false" customHeight="false" outlineLevel="0" collapsed="false">
      <c r="A354" s="3" t="s">
        <v>385</v>
      </c>
      <c r="B354" s="4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/>
      <c r="P354" s="3" t="n">
        <v>61.2</v>
      </c>
    </row>
    <row r="355" customFormat="false" ht="15" hidden="false" customHeight="false" outlineLevel="0" collapsed="false">
      <c r="A355" s="3" t="s">
        <v>386</v>
      </c>
      <c r="B355" s="4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3" t="n">
        <v>1</v>
      </c>
      <c r="I355" s="3" t="n">
        <v>1</v>
      </c>
      <c r="J355" s="3" t="n">
        <v>1</v>
      </c>
      <c r="K355" s="3" t="n">
        <v>0</v>
      </c>
      <c r="L355" s="3" t="n">
        <v>0</v>
      </c>
      <c r="M355" s="3" t="n">
        <v>0</v>
      </c>
      <c r="N355" s="3" t="n">
        <v>0</v>
      </c>
      <c r="O355" s="3"/>
      <c r="P355" s="3" t="n">
        <v>64.6</v>
      </c>
    </row>
    <row r="356" customFormat="false" ht="15" hidden="false" customHeight="false" outlineLevel="0" collapsed="false">
      <c r="A356" s="3" t="s">
        <v>387</v>
      </c>
      <c r="B356" s="4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3" t="n">
        <v>1</v>
      </c>
      <c r="I356" s="3" t="n">
        <v>1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/>
      <c r="P356" s="3" t="n">
        <v>91.7</v>
      </c>
    </row>
    <row r="357" customFormat="false" ht="15" hidden="false" customHeight="false" outlineLevel="0" collapsed="false">
      <c r="A357" s="3" t="s">
        <v>388</v>
      </c>
      <c r="B357" s="4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/>
      <c r="P357" s="3" t="n">
        <v>46</v>
      </c>
    </row>
    <row r="358" customFormat="false" ht="15" hidden="false" customHeight="false" outlineLevel="0" collapsed="false">
      <c r="A358" s="3" t="s">
        <v>389</v>
      </c>
      <c r="B358" s="4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/>
      <c r="P358" s="3" t="n">
        <v>50.8</v>
      </c>
    </row>
    <row r="359" customFormat="false" ht="15" hidden="false" customHeight="false" outlineLevel="0" collapsed="false">
      <c r="A359" s="3" t="s">
        <v>390</v>
      </c>
      <c r="B359" s="4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3" t="n">
        <v>1</v>
      </c>
      <c r="I359" s="3" t="n">
        <v>1</v>
      </c>
      <c r="J359" s="3" t="n">
        <v>1</v>
      </c>
      <c r="K359" s="3" t="n">
        <v>0</v>
      </c>
      <c r="L359" s="3" t="n">
        <v>0</v>
      </c>
      <c r="M359" s="3" t="n">
        <v>0</v>
      </c>
      <c r="N359" s="3" t="n">
        <v>0</v>
      </c>
      <c r="O359" s="3"/>
      <c r="P359" s="3" t="n">
        <v>52.8</v>
      </c>
    </row>
    <row r="360" customFormat="false" ht="15" hidden="false" customHeight="false" outlineLevel="0" collapsed="false">
      <c r="A360" s="3" t="s">
        <v>391</v>
      </c>
      <c r="B360" s="4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3" t="n">
        <v>1</v>
      </c>
      <c r="I360" s="3" t="n">
        <v>1</v>
      </c>
      <c r="J360" s="3" t="n">
        <v>1</v>
      </c>
      <c r="K360" s="3" t="n">
        <v>0</v>
      </c>
      <c r="L360" s="3" t="n">
        <v>0</v>
      </c>
      <c r="M360" s="3" t="n">
        <v>0</v>
      </c>
      <c r="N360" s="3" t="n">
        <v>0</v>
      </c>
      <c r="O360" s="3"/>
      <c r="P360" s="3" t="n">
        <v>63</v>
      </c>
    </row>
    <row r="361" customFormat="false" ht="15" hidden="false" customHeight="false" outlineLevel="0" collapsed="false">
      <c r="A361" s="3" t="s">
        <v>392</v>
      </c>
      <c r="B361" s="4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/>
      <c r="P361" s="3" t="n">
        <v>28.4</v>
      </c>
    </row>
    <row r="362" customFormat="false" ht="15" hidden="false" customHeight="false" outlineLevel="0" collapsed="false">
      <c r="A362" s="3" t="s">
        <v>393</v>
      </c>
      <c r="B362" s="4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3" t="n">
        <v>1</v>
      </c>
      <c r="I362" s="3" t="n">
        <v>1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/>
      <c r="P362" s="3" t="n">
        <v>65.6</v>
      </c>
    </row>
    <row r="363" customFormat="false" ht="15" hidden="false" customHeight="false" outlineLevel="0" collapsed="false">
      <c r="A363" s="3" t="s">
        <v>394</v>
      </c>
      <c r="B363" s="4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3" t="n">
        <v>1</v>
      </c>
      <c r="I363" s="3" t="n">
        <v>1</v>
      </c>
      <c r="J363" s="3" t="n">
        <v>1</v>
      </c>
      <c r="K363" s="3" t="n">
        <v>0</v>
      </c>
      <c r="L363" s="3" t="n">
        <v>0</v>
      </c>
      <c r="M363" s="3" t="n">
        <v>0</v>
      </c>
      <c r="N363" s="3" t="n">
        <v>0</v>
      </c>
      <c r="O363" s="3"/>
      <c r="P363" s="3" t="n">
        <v>54.7</v>
      </c>
    </row>
    <row r="364" customFormat="false" ht="15" hidden="false" customHeight="false" outlineLevel="0" collapsed="false">
      <c r="A364" s="3" t="s">
        <v>395</v>
      </c>
      <c r="B364" s="4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/>
      <c r="P364" s="3" t="n">
        <v>36.1</v>
      </c>
    </row>
    <row r="365" customFormat="false" ht="15" hidden="false" customHeight="false" outlineLevel="0" collapsed="false">
      <c r="A365" s="3" t="s">
        <v>396</v>
      </c>
      <c r="B365" s="4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3" t="n">
        <v>1</v>
      </c>
      <c r="I365" s="3" t="n">
        <v>1</v>
      </c>
      <c r="J365" s="3" t="n">
        <v>1</v>
      </c>
      <c r="K365" s="3" t="n">
        <v>0</v>
      </c>
      <c r="L365" s="3" t="n">
        <v>0</v>
      </c>
      <c r="M365" s="3" t="n">
        <v>0</v>
      </c>
      <c r="N365" s="3" t="n">
        <v>0</v>
      </c>
      <c r="O365" s="3"/>
      <c r="P365" s="3" t="n">
        <v>70.4</v>
      </c>
    </row>
    <row r="366" customFormat="false" ht="15" hidden="false" customHeight="false" outlineLevel="0" collapsed="false">
      <c r="A366" s="3" t="s">
        <v>397</v>
      </c>
      <c r="B366" s="4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/>
      <c r="P366" s="3" t="n">
        <v>56.4</v>
      </c>
    </row>
    <row r="367" customFormat="false" ht="15" hidden="false" customHeight="false" outlineLevel="0" collapsed="false">
      <c r="A367" s="3" t="s">
        <v>398</v>
      </c>
      <c r="B367" s="4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/>
      <c r="P367" s="3" t="n">
        <v>79.2</v>
      </c>
    </row>
    <row r="368" customFormat="false" ht="15" hidden="false" customHeight="false" outlineLevel="0" collapsed="false">
      <c r="A368" s="3" t="s">
        <v>399</v>
      </c>
      <c r="B368" s="4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3" t="n">
        <v>1</v>
      </c>
      <c r="I368" s="3" t="n">
        <v>1</v>
      </c>
      <c r="J368" s="3" t="n">
        <v>1</v>
      </c>
      <c r="K368" s="3" t="n">
        <v>0</v>
      </c>
      <c r="L368" s="3" t="n">
        <v>0</v>
      </c>
      <c r="M368" s="3" t="n">
        <v>0</v>
      </c>
      <c r="N368" s="3" t="n">
        <v>0</v>
      </c>
      <c r="O368" s="3"/>
      <c r="P368" s="3" t="n">
        <v>60.1</v>
      </c>
    </row>
    <row r="369" customFormat="false" ht="15" hidden="false" customHeight="false" outlineLevel="0" collapsed="false">
      <c r="A369" s="3" t="s">
        <v>400</v>
      </c>
      <c r="B369" s="4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/>
      <c r="P369" s="3" t="n">
        <v>58</v>
      </c>
    </row>
    <row r="370" customFormat="false" ht="15" hidden="false" customHeight="false" outlineLevel="0" collapsed="false">
      <c r="A370" s="3" t="s">
        <v>401</v>
      </c>
      <c r="B370" s="4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3" t="n">
        <v>1</v>
      </c>
      <c r="I370" s="3" t="n">
        <v>1</v>
      </c>
      <c r="J370" s="3" t="n">
        <v>1</v>
      </c>
      <c r="K370" s="3" t="n">
        <v>0</v>
      </c>
      <c r="L370" s="3" t="n">
        <v>0</v>
      </c>
      <c r="M370" s="3" t="n">
        <v>0</v>
      </c>
      <c r="N370" s="3" t="n">
        <v>0</v>
      </c>
      <c r="O370" s="3"/>
      <c r="P370" s="3" t="n">
        <v>69</v>
      </c>
    </row>
    <row r="371" customFormat="false" ht="15" hidden="false" customHeight="false" outlineLevel="0" collapsed="false">
      <c r="A371" s="3" t="s">
        <v>402</v>
      </c>
      <c r="B371" s="4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3" t="n">
        <v>1</v>
      </c>
      <c r="I371" s="3" t="n">
        <v>1</v>
      </c>
      <c r="J371" s="3" t="n">
        <v>1</v>
      </c>
      <c r="K371" s="3" t="n">
        <v>0</v>
      </c>
      <c r="L371" s="3" t="n">
        <v>0</v>
      </c>
      <c r="M371" s="3" t="n">
        <v>1</v>
      </c>
      <c r="N371" s="3" t="n">
        <v>0</v>
      </c>
      <c r="O371" s="3"/>
      <c r="P371" s="3" t="n">
        <v>80.8</v>
      </c>
    </row>
    <row r="372" customFormat="false" ht="15" hidden="false" customHeight="false" outlineLevel="0" collapsed="false">
      <c r="A372" s="3" t="s">
        <v>403</v>
      </c>
      <c r="B372" s="4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/>
      <c r="P372" s="3" t="n">
        <v>32.8</v>
      </c>
    </row>
    <row r="373" customFormat="false" ht="15" hidden="false" customHeight="false" outlineLevel="0" collapsed="false">
      <c r="A373" s="3" t="s">
        <v>404</v>
      </c>
      <c r="B373" s="4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/>
      <c r="P373" s="3" t="n">
        <v>56</v>
      </c>
    </row>
    <row r="374" customFormat="false" ht="15" hidden="false" customHeight="false" outlineLevel="0" collapsed="false">
      <c r="A374" s="3" t="s">
        <v>405</v>
      </c>
      <c r="B374" s="4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/>
      <c r="P374" s="3" t="n">
        <v>76.4</v>
      </c>
    </row>
    <row r="375" customFormat="false" ht="15" hidden="false" customHeight="false" outlineLevel="0" collapsed="false">
      <c r="A375" s="3" t="s">
        <v>406</v>
      </c>
      <c r="B375" s="4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/>
      <c r="P375" s="3" t="n">
        <v>28.5</v>
      </c>
    </row>
    <row r="376" customFormat="false" ht="15" hidden="false" customHeight="false" outlineLevel="0" collapsed="false">
      <c r="A376" s="3" t="s">
        <v>407</v>
      </c>
      <c r="B376" s="4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3" t="n">
        <v>1</v>
      </c>
      <c r="I376" s="3" t="n">
        <v>1</v>
      </c>
      <c r="J376" s="3" t="n">
        <v>1</v>
      </c>
      <c r="K376" s="3" t="n">
        <v>0</v>
      </c>
      <c r="L376" s="3" t="n">
        <v>0</v>
      </c>
      <c r="M376" s="3" t="n">
        <v>0</v>
      </c>
      <c r="N376" s="3" t="n">
        <v>0</v>
      </c>
      <c r="O376" s="3"/>
      <c r="P376" s="3" t="n">
        <v>48.3</v>
      </c>
    </row>
    <row r="377" customFormat="false" ht="15" hidden="false" customHeight="false" outlineLevel="0" collapsed="false">
      <c r="A377" s="3" t="s">
        <v>408</v>
      </c>
      <c r="B377" s="4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3" t="n">
        <v>1</v>
      </c>
      <c r="I377" s="3" t="n">
        <v>1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/>
      <c r="P377" s="3" t="n">
        <v>43.4</v>
      </c>
    </row>
    <row r="378" customFormat="false" ht="15" hidden="false" customHeight="false" outlineLevel="0" collapsed="false">
      <c r="A378" s="3" t="s">
        <v>409</v>
      </c>
      <c r="B378" s="4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/>
      <c r="P378" s="3" t="n">
        <v>43</v>
      </c>
    </row>
    <row r="379" customFormat="false" ht="15" hidden="false" customHeight="false" outlineLevel="0" collapsed="false">
      <c r="A379" s="3" t="s">
        <v>410</v>
      </c>
      <c r="B379" s="4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3" t="n">
        <v>1</v>
      </c>
      <c r="I379" s="3" t="n">
        <v>1</v>
      </c>
      <c r="J379" s="3" t="n">
        <v>1</v>
      </c>
      <c r="K379" s="3" t="n">
        <v>0</v>
      </c>
      <c r="L379" s="3" t="n">
        <v>0</v>
      </c>
      <c r="M379" s="3" t="n">
        <v>0</v>
      </c>
      <c r="N379" s="3" t="n">
        <v>0</v>
      </c>
      <c r="O379" s="3"/>
      <c r="P379" s="3" t="n">
        <v>91.8</v>
      </c>
    </row>
    <row r="380" customFormat="false" ht="15" hidden="false" customHeight="false" outlineLevel="0" collapsed="false">
      <c r="A380" s="3" t="s">
        <v>411</v>
      </c>
      <c r="B380" s="4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</v>
      </c>
      <c r="N380" s="3" t="n">
        <v>0</v>
      </c>
      <c r="O380" s="3"/>
      <c r="P380" s="3" t="n">
        <v>69.3</v>
      </c>
    </row>
    <row r="381" customFormat="false" ht="15" hidden="false" customHeight="false" outlineLevel="0" collapsed="false">
      <c r="A381" s="3" t="s">
        <v>412</v>
      </c>
      <c r="B381" s="4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/>
      <c r="P381" s="3" t="n">
        <v>58.9</v>
      </c>
    </row>
    <row r="382" customFormat="false" ht="15" hidden="false" customHeight="false" outlineLevel="0" collapsed="false">
      <c r="A382" s="3" t="s">
        <v>413</v>
      </c>
      <c r="B382" s="4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3" t="n">
        <v>1</v>
      </c>
      <c r="I382" s="3" t="n">
        <v>1</v>
      </c>
      <c r="J382" s="3" t="n">
        <v>1</v>
      </c>
      <c r="K382" s="3" t="n">
        <v>0</v>
      </c>
      <c r="L382" s="3" t="n">
        <v>0</v>
      </c>
      <c r="M382" s="3" t="n">
        <v>0</v>
      </c>
      <c r="N382" s="3" t="n">
        <v>0</v>
      </c>
      <c r="O382" s="3"/>
      <c r="P382" s="3" t="n">
        <v>76</v>
      </c>
    </row>
    <row r="383" customFormat="false" ht="15" hidden="false" customHeight="false" outlineLevel="0" collapsed="false">
      <c r="A383" s="3" t="s">
        <v>414</v>
      </c>
      <c r="B383" s="4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/>
      <c r="P383" s="3" t="n">
        <v>46</v>
      </c>
    </row>
    <row r="384" customFormat="false" ht="15" hidden="false" customHeight="false" outlineLevel="0" collapsed="false">
      <c r="A384" s="3" t="s">
        <v>415</v>
      </c>
      <c r="B384" s="4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/>
      <c r="P384" s="3" t="n">
        <v>54.1</v>
      </c>
    </row>
    <row r="385" customFormat="false" ht="15" hidden="false" customHeight="false" outlineLevel="0" collapsed="false">
      <c r="A385" s="3" t="s">
        <v>416</v>
      </c>
      <c r="B385" s="4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/>
      <c r="P385" s="3" t="n">
        <v>82.4</v>
      </c>
    </row>
    <row r="386" customFormat="false" ht="15" hidden="false" customHeight="false" outlineLevel="0" collapsed="false">
      <c r="A386" s="3" t="s">
        <v>417</v>
      </c>
      <c r="B386" s="4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3" t="n">
        <v>1</v>
      </c>
      <c r="I386" s="3" t="n">
        <v>1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/>
      <c r="P386" s="3" t="n">
        <v>71.9</v>
      </c>
    </row>
    <row r="387" customFormat="false" ht="15" hidden="false" customHeight="false" outlineLevel="0" collapsed="false">
      <c r="A387" s="3" t="s">
        <v>418</v>
      </c>
      <c r="B387" s="4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2</v>
      </c>
      <c r="N387" s="3" t="n">
        <v>0</v>
      </c>
      <c r="O387" s="3"/>
      <c r="P387" s="3" t="n">
        <v>38</v>
      </c>
    </row>
    <row r="388" customFormat="false" ht="15" hidden="false" customHeight="false" outlineLevel="0" collapsed="false">
      <c r="A388" s="3" t="s">
        <v>419</v>
      </c>
      <c r="B388" s="4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3" t="n">
        <v>1</v>
      </c>
      <c r="I388" s="3" t="n">
        <v>1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/>
      <c r="P388" s="3" t="n">
        <v>43.7</v>
      </c>
    </row>
    <row r="389" customFormat="false" ht="15" hidden="false" customHeight="false" outlineLevel="0" collapsed="false">
      <c r="A389" s="3" t="s">
        <v>420</v>
      </c>
      <c r="B389" s="4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</v>
      </c>
      <c r="N389" s="3" t="n">
        <v>0</v>
      </c>
      <c r="O389" s="3"/>
      <c r="P389" s="3" t="n">
        <v>32.2</v>
      </c>
    </row>
    <row r="390" customFormat="false" ht="15" hidden="false" customHeight="false" outlineLevel="0" collapsed="false">
      <c r="A390" s="3" t="s">
        <v>421</v>
      </c>
      <c r="B390" s="4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/>
      <c r="P390" s="3" t="n">
        <v>61</v>
      </c>
    </row>
    <row r="391" customFormat="false" ht="15" hidden="false" customHeight="false" outlineLevel="0" collapsed="false">
      <c r="A391" s="3" t="s">
        <v>422</v>
      </c>
      <c r="B391" s="4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/>
      <c r="P391" s="3" t="n">
        <v>49</v>
      </c>
    </row>
    <row r="392" customFormat="false" ht="15" hidden="false" customHeight="false" outlineLevel="0" collapsed="false">
      <c r="A392" s="3" t="s">
        <v>423</v>
      </c>
      <c r="B392" s="4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/>
      <c r="P392" s="3" t="n">
        <v>48.1</v>
      </c>
    </row>
    <row r="393" customFormat="false" ht="15" hidden="false" customHeight="false" outlineLevel="0" collapsed="false">
      <c r="A393" s="3" t="s">
        <v>424</v>
      </c>
      <c r="B393" s="4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2</v>
      </c>
      <c r="N393" s="3" t="n">
        <v>0</v>
      </c>
      <c r="O393" s="3"/>
      <c r="P393" s="3" t="n">
        <v>46.3</v>
      </c>
    </row>
    <row r="394" customFormat="false" ht="15" hidden="false" customHeight="false" outlineLevel="0" collapsed="false">
      <c r="A394" s="3" t="s">
        <v>425</v>
      </c>
      <c r="B394" s="4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/>
      <c r="P394" s="3" t="n">
        <v>64</v>
      </c>
    </row>
    <row r="395" customFormat="false" ht="15" hidden="false" customHeight="false" outlineLevel="0" collapsed="false">
      <c r="A395" s="3" t="s">
        <v>426</v>
      </c>
      <c r="B395" s="4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3" t="n">
        <v>1</v>
      </c>
      <c r="I395" s="3" t="n">
        <v>1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/>
      <c r="P395" s="3" t="n">
        <v>56.2</v>
      </c>
    </row>
    <row r="396" customFormat="false" ht="15" hidden="false" customHeight="false" outlineLevel="0" collapsed="false">
      <c r="A396" s="3" t="s">
        <v>427</v>
      </c>
      <c r="B396" s="4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3" t="n">
        <v>1</v>
      </c>
      <c r="I396" s="3" t="n">
        <v>1</v>
      </c>
      <c r="J396" s="3" t="n">
        <v>1</v>
      </c>
      <c r="K396" s="3" t="n">
        <v>0</v>
      </c>
      <c r="L396" s="3" t="n">
        <v>0</v>
      </c>
      <c r="M396" s="3" t="n">
        <v>0</v>
      </c>
      <c r="N396" s="3" t="n">
        <v>0</v>
      </c>
      <c r="O396" s="3"/>
      <c r="P396" s="3" t="n">
        <v>77.5</v>
      </c>
    </row>
    <row r="397" customFormat="false" ht="15" hidden="false" customHeight="false" outlineLevel="0" collapsed="false">
      <c r="A397" s="3" t="s">
        <v>428</v>
      </c>
      <c r="B397" s="4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/>
      <c r="P397" s="3" t="n">
        <v>59.9</v>
      </c>
    </row>
    <row r="398" customFormat="false" ht="15" hidden="false" customHeight="false" outlineLevel="0" collapsed="false">
      <c r="A398" s="3" t="s">
        <v>429</v>
      </c>
      <c r="B398" s="4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3" t="n">
        <v>1</v>
      </c>
      <c r="I398" s="3" t="n">
        <v>1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/>
      <c r="P398" s="3" t="n">
        <v>63</v>
      </c>
    </row>
    <row r="399" customFormat="false" ht="15" hidden="false" customHeight="false" outlineLevel="0" collapsed="false">
      <c r="A399" s="3" t="s">
        <v>430</v>
      </c>
      <c r="B399" s="4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3" t="n">
        <v>1</v>
      </c>
      <c r="I399" s="3" t="n">
        <v>1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/>
      <c r="P399" s="3" t="n">
        <v>76.5</v>
      </c>
    </row>
    <row r="400" customFormat="false" ht="15" hidden="false" customHeight="false" outlineLevel="0" collapsed="false">
      <c r="A400" s="3" t="s">
        <v>431</v>
      </c>
      <c r="B400" s="4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/>
      <c r="P400" s="3" t="n">
        <v>39.7</v>
      </c>
    </row>
    <row r="401" customFormat="false" ht="15" hidden="false" customHeight="false" outlineLevel="0" collapsed="false">
      <c r="A401" s="3" t="s">
        <v>432</v>
      </c>
      <c r="B401" s="4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3" t="n">
        <v>1</v>
      </c>
      <c r="I401" s="3" t="n">
        <v>1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/>
      <c r="P401" s="3" t="n">
        <v>80.2</v>
      </c>
    </row>
    <row r="402" customFormat="false" ht="15" hidden="false" customHeight="false" outlineLevel="0" collapsed="false">
      <c r="A402" s="3" t="s">
        <v>433</v>
      </c>
      <c r="B402" s="4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/>
      <c r="P402" s="3" t="n">
        <v>72.2</v>
      </c>
    </row>
    <row r="403" customFormat="false" ht="15" hidden="false" customHeight="false" outlineLevel="0" collapsed="false">
      <c r="A403" s="3" t="s">
        <v>434</v>
      </c>
      <c r="B403" s="4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/>
      <c r="P403" s="3" t="n">
        <v>56</v>
      </c>
    </row>
    <row r="404" customFormat="false" ht="15" hidden="false" customHeight="false" outlineLevel="0" collapsed="false">
      <c r="A404" s="3" t="s">
        <v>435</v>
      </c>
      <c r="B404" s="4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3" t="n">
        <v>1</v>
      </c>
      <c r="I404" s="3" t="n">
        <v>1</v>
      </c>
      <c r="J404" s="3" t="n">
        <v>1</v>
      </c>
      <c r="K404" s="3" t="n">
        <v>0</v>
      </c>
      <c r="L404" s="3" t="n">
        <v>0</v>
      </c>
      <c r="M404" s="3" t="n">
        <v>0</v>
      </c>
      <c r="N404" s="3" t="n">
        <v>0</v>
      </c>
      <c r="O404" s="3"/>
      <c r="P404" s="3" t="n">
        <v>69.1</v>
      </c>
    </row>
    <row r="405" customFormat="false" ht="15" hidden="false" customHeight="false" outlineLevel="0" collapsed="false">
      <c r="A405" s="3" t="s">
        <v>436</v>
      </c>
      <c r="B405" s="4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</v>
      </c>
      <c r="N405" s="3" t="n">
        <v>0</v>
      </c>
      <c r="O405" s="3"/>
      <c r="P405" s="3" t="n">
        <v>70.6</v>
      </c>
    </row>
    <row r="406" customFormat="false" ht="15" hidden="false" customHeight="false" outlineLevel="0" collapsed="false">
      <c r="A406" s="3" t="s">
        <v>437</v>
      </c>
      <c r="B406" s="4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/>
      <c r="P406" s="3" t="n">
        <v>57.9</v>
      </c>
    </row>
    <row r="407" customFormat="false" ht="15" hidden="false" customHeight="false" outlineLevel="0" collapsed="false">
      <c r="A407" s="3" t="s">
        <v>438</v>
      </c>
      <c r="B407" s="4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3" t="n">
        <v>1</v>
      </c>
      <c r="I407" s="3" t="n">
        <v>1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/>
      <c r="P407" s="3" t="n">
        <v>41.4</v>
      </c>
    </row>
    <row r="408" customFormat="false" ht="15" hidden="false" customHeight="false" outlineLevel="0" collapsed="false">
      <c r="A408" s="3" t="s">
        <v>439</v>
      </c>
      <c r="B408" s="4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/>
      <c r="P408" s="3" t="n">
        <v>60.9</v>
      </c>
    </row>
    <row r="409" customFormat="false" ht="15" hidden="false" customHeight="false" outlineLevel="0" collapsed="false">
      <c r="A409" s="3" t="s">
        <v>440</v>
      </c>
      <c r="B409" s="4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</v>
      </c>
      <c r="N409" s="3" t="n">
        <v>0</v>
      </c>
      <c r="O409" s="3"/>
      <c r="P409" s="3" t="n">
        <v>63.8</v>
      </c>
    </row>
    <row r="410" customFormat="false" ht="15" hidden="false" customHeight="false" outlineLevel="0" collapsed="false">
      <c r="A410" s="3" t="s">
        <v>441</v>
      </c>
      <c r="B410" s="4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/>
      <c r="P410" s="3" t="n">
        <v>79.2</v>
      </c>
    </row>
    <row r="411" customFormat="false" ht="15" hidden="false" customHeight="false" outlineLevel="0" collapsed="false">
      <c r="A411" s="3" t="s">
        <v>442</v>
      </c>
      <c r="B411" s="4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3" t="n">
        <v>1</v>
      </c>
      <c r="I411" s="3" t="n">
        <v>1</v>
      </c>
      <c r="J411" s="3" t="n">
        <v>1</v>
      </c>
      <c r="K411" s="3" t="n">
        <v>0</v>
      </c>
      <c r="L411" s="3" t="n">
        <v>0</v>
      </c>
      <c r="M411" s="3" t="n">
        <v>0</v>
      </c>
      <c r="N411" s="3" t="n">
        <v>0</v>
      </c>
      <c r="O411" s="3"/>
      <c r="P411" s="3" t="n">
        <v>53.3</v>
      </c>
    </row>
    <row r="412" customFormat="false" ht="15" hidden="false" customHeight="false" outlineLevel="0" collapsed="false">
      <c r="A412" s="3" t="s">
        <v>443</v>
      </c>
      <c r="B412" s="4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2144.82</v>
      </c>
      <c r="M412" s="3" t="n">
        <v>0</v>
      </c>
      <c r="N412" s="3" t="n">
        <v>0</v>
      </c>
      <c r="O412" s="3" t="n">
        <v>6</v>
      </c>
      <c r="P412" s="3" t="n">
        <v>52.3</v>
      </c>
    </row>
    <row r="413" customFormat="false" ht="15" hidden="false" customHeight="false" outlineLevel="0" collapsed="false">
      <c r="A413" s="3" t="s">
        <v>444</v>
      </c>
      <c r="B413" s="4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3" t="n">
        <v>1</v>
      </c>
      <c r="I413" s="3" t="n">
        <v>1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/>
      <c r="P413" s="3" t="n">
        <v>62.4</v>
      </c>
    </row>
    <row r="414" customFormat="false" ht="15" hidden="false" customHeight="false" outlineLevel="0" collapsed="false">
      <c r="A414" s="3" t="s">
        <v>445</v>
      </c>
      <c r="B414" s="4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/>
      <c r="P414" s="3" t="n">
        <v>45.5</v>
      </c>
    </row>
    <row r="415" customFormat="false" ht="15" hidden="false" customHeight="false" outlineLevel="0" collapsed="false">
      <c r="A415" s="3" t="s">
        <v>446</v>
      </c>
      <c r="B415" s="4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</v>
      </c>
      <c r="N415" s="3" t="n">
        <v>0</v>
      </c>
      <c r="O415" s="3"/>
      <c r="P415" s="3" t="n">
        <v>72.6</v>
      </c>
    </row>
    <row r="416" customFormat="false" ht="15" hidden="false" customHeight="false" outlineLevel="0" collapsed="false">
      <c r="A416" s="3" t="s">
        <v>447</v>
      </c>
      <c r="B416" s="4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3" t="n">
        <v>1</v>
      </c>
      <c r="I416" s="3" t="n">
        <v>1</v>
      </c>
      <c r="J416" s="3" t="n">
        <v>1</v>
      </c>
      <c r="K416" s="3" t="n">
        <v>0</v>
      </c>
      <c r="L416" s="3" t="n">
        <v>0</v>
      </c>
      <c r="M416" s="3" t="n">
        <v>0</v>
      </c>
      <c r="N416" s="3" t="n">
        <v>0</v>
      </c>
      <c r="O416" s="3"/>
      <c r="P416" s="3" t="n">
        <v>50.1</v>
      </c>
    </row>
    <row r="417" customFormat="false" ht="15" hidden="false" customHeight="false" outlineLevel="0" collapsed="false">
      <c r="A417" s="3" t="s">
        <v>448</v>
      </c>
      <c r="B417" s="4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3" t="n">
        <v>1</v>
      </c>
      <c r="I417" s="3" t="n">
        <v>1</v>
      </c>
      <c r="J417" s="3" t="n">
        <v>1</v>
      </c>
      <c r="K417" s="3" t="n">
        <v>0</v>
      </c>
      <c r="L417" s="3" t="n">
        <v>0</v>
      </c>
      <c r="M417" s="3" t="n">
        <v>2</v>
      </c>
      <c r="N417" s="3" t="n">
        <v>0</v>
      </c>
      <c r="O417" s="3"/>
      <c r="P417" s="3" t="n">
        <v>58.1</v>
      </c>
    </row>
    <row r="418" customFormat="false" ht="15" hidden="false" customHeight="false" outlineLevel="0" collapsed="false">
      <c r="A418" s="3" t="s">
        <v>449</v>
      </c>
      <c r="B418" s="4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/>
      <c r="P418" s="3" t="n">
        <v>42.9</v>
      </c>
    </row>
    <row r="419" customFormat="false" ht="15" hidden="false" customHeight="false" outlineLevel="0" collapsed="false">
      <c r="A419" s="3" t="s">
        <v>450</v>
      </c>
      <c r="B419" s="4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/>
      <c r="P419" s="3" t="n">
        <v>69.7</v>
      </c>
    </row>
    <row r="420" customFormat="false" ht="15" hidden="false" customHeight="false" outlineLevel="0" collapsed="false">
      <c r="A420" s="3" t="s">
        <v>451</v>
      </c>
      <c r="B420" s="4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/>
      <c r="P420" s="3" t="n">
        <v>63.3</v>
      </c>
    </row>
    <row r="421" customFormat="false" ht="15" hidden="false" customHeight="false" outlineLevel="0" collapsed="false">
      <c r="A421" s="3" t="s">
        <v>452</v>
      </c>
      <c r="B421" s="4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/>
      <c r="P421" s="3" t="n">
        <v>71.2</v>
      </c>
    </row>
    <row r="422" customFormat="false" ht="15" hidden="false" customHeight="false" outlineLevel="0" collapsed="false">
      <c r="A422" s="3" t="s">
        <v>453</v>
      </c>
      <c r="B422" s="4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/>
      <c r="P422" s="3" t="n">
        <v>39.1</v>
      </c>
    </row>
    <row r="423" customFormat="false" ht="15" hidden="false" customHeight="false" outlineLevel="0" collapsed="false">
      <c r="A423" s="3" t="s">
        <v>454</v>
      </c>
      <c r="B423" s="4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/>
      <c r="P423" s="3" t="n">
        <v>42.6</v>
      </c>
    </row>
    <row r="424" customFormat="false" ht="15" hidden="false" customHeight="false" outlineLevel="0" collapsed="false">
      <c r="A424" s="3" t="s">
        <v>455</v>
      </c>
      <c r="B424" s="4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/>
      <c r="P424" s="3" t="n">
        <v>74.4</v>
      </c>
    </row>
    <row r="425" customFormat="false" ht="15" hidden="false" customHeight="false" outlineLevel="0" collapsed="false">
      <c r="A425" s="3" t="s">
        <v>456</v>
      </c>
      <c r="B425" s="4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/>
      <c r="P425" s="3" t="n">
        <v>55.6</v>
      </c>
    </row>
    <row r="426" customFormat="false" ht="15" hidden="false" customHeight="false" outlineLevel="0" collapsed="false">
      <c r="A426" s="3" t="s">
        <v>457</v>
      </c>
      <c r="B426" s="4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/>
      <c r="P426" s="3" t="n">
        <v>35.8</v>
      </c>
    </row>
    <row r="427" customFormat="false" ht="15" hidden="false" customHeight="false" outlineLevel="0" collapsed="false">
      <c r="A427" s="3" t="s">
        <v>458</v>
      </c>
      <c r="B427" s="4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</v>
      </c>
      <c r="N427" s="3" t="n">
        <v>0</v>
      </c>
      <c r="O427" s="3"/>
      <c r="P427" s="3" t="n">
        <v>28.2</v>
      </c>
    </row>
    <row r="428" customFormat="false" ht="15" hidden="false" customHeight="false" outlineLevel="0" collapsed="false">
      <c r="A428" s="3" t="s">
        <v>459</v>
      </c>
      <c r="B428" s="4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2</v>
      </c>
      <c r="N428" s="3" t="n">
        <v>0</v>
      </c>
      <c r="O428" s="3"/>
      <c r="P428" s="3" t="n">
        <v>44.4</v>
      </c>
    </row>
    <row r="429" customFormat="false" ht="15" hidden="false" customHeight="false" outlineLevel="0" collapsed="false">
      <c r="A429" s="3" t="s">
        <v>460</v>
      </c>
      <c r="B429" s="4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/>
      <c r="P429" s="3" t="n">
        <v>49.9</v>
      </c>
    </row>
    <row r="430" customFormat="false" ht="15" hidden="false" customHeight="false" outlineLevel="0" collapsed="false">
      <c r="A430" s="3" t="s">
        <v>461</v>
      </c>
      <c r="B430" s="4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/>
      <c r="P430" s="3" t="n">
        <v>40.4</v>
      </c>
    </row>
    <row r="431" customFormat="false" ht="15" hidden="false" customHeight="false" outlineLevel="0" collapsed="false">
      <c r="A431" s="3" t="s">
        <v>462</v>
      </c>
      <c r="B431" s="4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/>
      <c r="P431" s="3" t="n">
        <v>60.4</v>
      </c>
    </row>
    <row r="432" customFormat="false" ht="15" hidden="false" customHeight="false" outlineLevel="0" collapsed="false">
      <c r="A432" s="3" t="s">
        <v>463</v>
      </c>
      <c r="B432" s="4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</v>
      </c>
      <c r="N432" s="3" t="n">
        <v>0</v>
      </c>
      <c r="O432" s="3"/>
      <c r="P432" s="3" t="n">
        <v>52.4</v>
      </c>
    </row>
    <row r="433" customFormat="false" ht="15" hidden="false" customHeight="false" outlineLevel="0" collapsed="false">
      <c r="A433" s="3" t="s">
        <v>464</v>
      </c>
      <c r="B433" s="4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3" t="n">
        <v>1</v>
      </c>
      <c r="I433" s="3" t="n">
        <v>1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/>
      <c r="P433" s="3" t="n">
        <v>48.8</v>
      </c>
    </row>
    <row r="434" customFormat="false" ht="15" hidden="false" customHeight="false" outlineLevel="0" collapsed="false">
      <c r="A434" s="3" t="s">
        <v>465</v>
      </c>
      <c r="B434" s="4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/>
      <c r="P434" s="3" t="n">
        <v>60.9</v>
      </c>
    </row>
    <row r="435" customFormat="false" ht="15" hidden="false" customHeight="false" outlineLevel="0" collapsed="false">
      <c r="A435" s="3" t="s">
        <v>466</v>
      </c>
      <c r="B435" s="4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/>
      <c r="P435" s="3" t="n">
        <v>68.2</v>
      </c>
    </row>
    <row r="436" customFormat="false" ht="15" hidden="false" customHeight="false" outlineLevel="0" collapsed="false">
      <c r="A436" s="3" t="s">
        <v>467</v>
      </c>
      <c r="B436" s="4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3" t="n">
        <v>1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/>
      <c r="P436" s="3" t="n">
        <v>65.6</v>
      </c>
    </row>
    <row r="437" customFormat="false" ht="15" hidden="false" customHeight="false" outlineLevel="0" collapsed="false">
      <c r="A437" s="3" t="s">
        <v>468</v>
      </c>
      <c r="B437" s="4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3" t="n">
        <v>1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/>
      <c r="P437" s="3" t="n">
        <v>65.4</v>
      </c>
    </row>
    <row r="438" customFormat="false" ht="15" hidden="false" customHeight="false" outlineLevel="0" collapsed="false">
      <c r="A438" s="3" t="s">
        <v>469</v>
      </c>
      <c r="B438" s="4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3" t="n">
        <v>1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/>
      <c r="P438" s="3" t="n">
        <v>78.9</v>
      </c>
    </row>
    <row r="439" customFormat="false" ht="15" hidden="false" customHeight="false" outlineLevel="0" collapsed="false">
      <c r="A439" s="3" t="s">
        <v>470</v>
      </c>
      <c r="B439" s="4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3" t="n">
        <v>1</v>
      </c>
      <c r="I439" s="3" t="n">
        <v>1</v>
      </c>
      <c r="J439" s="3" t="n">
        <v>1</v>
      </c>
      <c r="K439" s="3" t="n">
        <v>0</v>
      </c>
      <c r="L439" s="3" t="n">
        <v>0</v>
      </c>
      <c r="M439" s="3" t="n">
        <v>0</v>
      </c>
      <c r="N439" s="3" t="n">
        <v>0</v>
      </c>
      <c r="O439" s="3"/>
      <c r="P439" s="3" t="n">
        <v>78.3</v>
      </c>
    </row>
    <row r="440" customFormat="false" ht="15" hidden="false" customHeight="false" outlineLevel="0" collapsed="false">
      <c r="A440" s="3" t="s">
        <v>471</v>
      </c>
      <c r="B440" s="4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/>
      <c r="P440" s="3" t="n">
        <v>49.2</v>
      </c>
    </row>
    <row r="441" customFormat="false" ht="15" hidden="false" customHeight="false" outlineLevel="0" collapsed="false">
      <c r="A441" s="3" t="s">
        <v>472</v>
      </c>
      <c r="B441" s="4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1518.83</v>
      </c>
      <c r="M441" s="3" t="n">
        <v>0</v>
      </c>
      <c r="N441" s="3" t="n">
        <v>0</v>
      </c>
      <c r="O441" s="3" t="n">
        <v>9</v>
      </c>
      <c r="P441" s="3" t="n">
        <v>32.2</v>
      </c>
    </row>
    <row r="442" customFormat="false" ht="15" hidden="false" customHeight="false" outlineLevel="0" collapsed="false">
      <c r="A442" s="3" t="s">
        <v>473</v>
      </c>
      <c r="B442" s="4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3" t="n">
        <v>1</v>
      </c>
      <c r="I442" s="3" t="n">
        <v>1</v>
      </c>
      <c r="J442" s="3" t="n">
        <v>1</v>
      </c>
      <c r="K442" s="3" t="n">
        <v>0</v>
      </c>
      <c r="L442" s="3" t="n">
        <v>0</v>
      </c>
      <c r="M442" s="3" t="n">
        <v>0</v>
      </c>
      <c r="N442" s="3" t="n">
        <v>0</v>
      </c>
      <c r="O442" s="3"/>
      <c r="P442" s="3" t="n">
        <v>46.3</v>
      </c>
    </row>
    <row r="443" customFormat="false" ht="15" hidden="false" customHeight="false" outlineLevel="0" collapsed="false">
      <c r="A443" s="3" t="s">
        <v>474</v>
      </c>
      <c r="B443" s="4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3" t="n">
        <v>1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/>
      <c r="P443" s="3" t="n">
        <v>55.7</v>
      </c>
    </row>
    <row r="444" customFormat="false" ht="15" hidden="false" customHeight="false" outlineLevel="0" collapsed="false">
      <c r="A444" s="3" t="s">
        <v>475</v>
      </c>
      <c r="B444" s="4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3" t="n">
        <v>1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/>
      <c r="P444" s="3" t="n">
        <v>44.5</v>
      </c>
    </row>
    <row r="445" customFormat="false" ht="15" hidden="false" customHeight="false" outlineLevel="0" collapsed="false">
      <c r="A445" s="3" t="s">
        <v>476</v>
      </c>
      <c r="B445" s="4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3" t="n">
        <v>1</v>
      </c>
      <c r="I445" s="3" t="n">
        <v>1</v>
      </c>
      <c r="J445" s="3" t="n">
        <v>1</v>
      </c>
      <c r="K445" s="3" t="n">
        <v>0</v>
      </c>
      <c r="L445" s="3" t="n">
        <v>0</v>
      </c>
      <c r="M445" s="3" t="n">
        <v>1</v>
      </c>
      <c r="N445" s="3" t="n">
        <v>0</v>
      </c>
      <c r="O445" s="3"/>
      <c r="P445" s="3" t="n">
        <v>47.9</v>
      </c>
    </row>
    <row r="446" customFormat="false" ht="15" hidden="false" customHeight="false" outlineLevel="0" collapsed="false">
      <c r="A446" s="3" t="s">
        <v>477</v>
      </c>
      <c r="B446" s="4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/>
      <c r="P446" s="3" t="n">
        <v>43.9</v>
      </c>
    </row>
    <row r="447" customFormat="false" ht="15" hidden="false" customHeight="false" outlineLevel="0" collapsed="false">
      <c r="A447" s="3" t="s">
        <v>478</v>
      </c>
      <c r="B447" s="4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3" t="n">
        <v>1</v>
      </c>
      <c r="I447" s="3" t="n">
        <v>1</v>
      </c>
      <c r="J447" s="3" t="n">
        <v>1</v>
      </c>
      <c r="K447" s="3" t="n">
        <v>0</v>
      </c>
      <c r="L447" s="3" t="n">
        <v>0</v>
      </c>
      <c r="M447" s="3" t="n">
        <v>1</v>
      </c>
      <c r="N447" s="3" t="n">
        <v>0</v>
      </c>
      <c r="O447" s="3"/>
      <c r="P447" s="3" t="n">
        <v>67.7</v>
      </c>
    </row>
    <row r="448" customFormat="false" ht="15" hidden="false" customHeight="false" outlineLevel="0" collapsed="false">
      <c r="A448" s="3" t="s">
        <v>479</v>
      </c>
      <c r="B448" s="4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/>
      <c r="P448" s="3" t="n">
        <v>43.7</v>
      </c>
    </row>
    <row r="449" customFormat="false" ht="15" hidden="false" customHeight="false" outlineLevel="0" collapsed="false">
      <c r="A449" s="3" t="s">
        <v>480</v>
      </c>
      <c r="B449" s="4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3" t="n">
        <v>1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/>
      <c r="P449" s="3" t="n">
        <v>68.8</v>
      </c>
    </row>
    <row r="450" customFormat="false" ht="15" hidden="false" customHeight="false" outlineLevel="0" collapsed="false">
      <c r="A450" s="3" t="s">
        <v>481</v>
      </c>
      <c r="B450" s="4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3" t="n">
        <v>1</v>
      </c>
      <c r="I450" s="3" t="n">
        <v>1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/>
      <c r="P450" s="3" t="n">
        <v>59.2</v>
      </c>
    </row>
    <row r="451" customFormat="false" ht="15" hidden="false" customHeight="false" outlineLevel="0" collapsed="false">
      <c r="A451" s="3" t="s">
        <v>482</v>
      </c>
      <c r="B451" s="4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3" t="n">
        <v>1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/>
      <c r="P451" s="3" t="n">
        <v>48.6</v>
      </c>
    </row>
    <row r="452" customFormat="false" ht="15" hidden="false" customHeight="false" outlineLevel="0" collapsed="false">
      <c r="A452" s="3" t="s">
        <v>483</v>
      </c>
      <c r="B452" s="4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3" t="n">
        <v>1</v>
      </c>
      <c r="I452" s="3" t="n">
        <v>1</v>
      </c>
      <c r="J452" s="3" t="n">
        <v>1</v>
      </c>
      <c r="K452" s="3" t="n">
        <v>0</v>
      </c>
      <c r="L452" s="3" t="n">
        <v>0</v>
      </c>
      <c r="M452" s="3" t="n">
        <v>0</v>
      </c>
      <c r="N452" s="3" t="n">
        <v>0</v>
      </c>
      <c r="O452" s="3"/>
      <c r="P452" s="3" t="n">
        <v>56.9</v>
      </c>
    </row>
    <row r="453" customFormat="false" ht="15" hidden="false" customHeight="false" outlineLevel="0" collapsed="false">
      <c r="A453" s="3" t="s">
        <v>484</v>
      </c>
      <c r="B453" s="4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/>
      <c r="P453" s="3" t="n">
        <v>55.8</v>
      </c>
    </row>
    <row r="454" customFormat="false" ht="15" hidden="false" customHeight="false" outlineLevel="0" collapsed="false">
      <c r="A454" s="3" t="s">
        <v>485</v>
      </c>
      <c r="B454" s="4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/>
      <c r="P454" s="3" t="n">
        <v>63.3</v>
      </c>
    </row>
    <row r="455" customFormat="false" ht="15" hidden="false" customHeight="false" outlineLevel="0" collapsed="false">
      <c r="A455" s="3" t="s">
        <v>486</v>
      </c>
      <c r="B455" s="4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3" t="n">
        <v>1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/>
      <c r="P455" s="3" t="n">
        <v>52.2</v>
      </c>
    </row>
    <row r="456" customFormat="false" ht="15" hidden="false" customHeight="false" outlineLevel="0" collapsed="false">
      <c r="A456" s="3" t="s">
        <v>487</v>
      </c>
      <c r="B456" s="4" t="n">
        <v>45713</v>
      </c>
      <c r="C456" s="3" t="s">
        <v>17</v>
      </c>
      <c r="D456" s="3" t="s">
        <v>32</v>
      </c>
      <c r="E456" s="3" t="s">
        <v>34</v>
      </c>
      <c r="F456" s="3" t="s">
        <v>156</v>
      </c>
      <c r="G456" s="3" t="s">
        <v>26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/>
      <c r="P456" s="3" t="n">
        <v>51.5</v>
      </c>
    </row>
    <row r="457" customFormat="false" ht="15" hidden="false" customHeight="false" outlineLevel="0" collapsed="false">
      <c r="A457" s="3" t="s">
        <v>488</v>
      </c>
      <c r="B457" s="4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/>
      <c r="P457" s="3" t="n">
        <v>50.3</v>
      </c>
    </row>
    <row r="458" customFormat="false" ht="15" hidden="false" customHeight="false" outlineLevel="0" collapsed="false">
      <c r="A458" s="3" t="s">
        <v>489</v>
      </c>
      <c r="B458" s="4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1</v>
      </c>
      <c r="N458" s="3" t="n">
        <v>0</v>
      </c>
      <c r="O458" s="3"/>
      <c r="P458" s="3" t="n">
        <v>35.4</v>
      </c>
    </row>
    <row r="459" customFormat="false" ht="15" hidden="false" customHeight="false" outlineLevel="0" collapsed="false">
      <c r="A459" s="3" t="s">
        <v>490</v>
      </c>
      <c r="B459" s="4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1</v>
      </c>
      <c r="N459" s="3" t="n">
        <v>0</v>
      </c>
      <c r="O459" s="3"/>
      <c r="P459" s="3" t="n">
        <v>54.1</v>
      </c>
    </row>
    <row r="460" customFormat="false" ht="15" hidden="false" customHeight="false" outlineLevel="0" collapsed="false">
      <c r="A460" s="3" t="s">
        <v>491</v>
      </c>
      <c r="B460" s="4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/>
      <c r="P460" s="3" t="n">
        <v>56.2</v>
      </c>
    </row>
    <row r="461" customFormat="false" ht="15" hidden="false" customHeight="false" outlineLevel="0" collapsed="false">
      <c r="A461" s="3" t="s">
        <v>492</v>
      </c>
      <c r="B461" s="4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3</v>
      </c>
      <c r="N461" s="3" t="n">
        <v>0</v>
      </c>
      <c r="O461" s="3"/>
      <c r="P461" s="3" t="n">
        <v>43.7</v>
      </c>
    </row>
    <row r="462" customFormat="false" ht="15" hidden="false" customHeight="false" outlineLevel="0" collapsed="false">
      <c r="A462" s="3" t="s">
        <v>493</v>
      </c>
      <c r="B462" s="4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3" t="n">
        <v>1</v>
      </c>
      <c r="I462" s="3" t="n">
        <v>1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/>
      <c r="P462" s="3" t="n">
        <v>51.3</v>
      </c>
    </row>
    <row r="463" customFormat="false" ht="15" hidden="false" customHeight="false" outlineLevel="0" collapsed="false">
      <c r="A463" s="3" t="s">
        <v>494</v>
      </c>
      <c r="B463" s="4" t="n">
        <v>45796</v>
      </c>
      <c r="C463" s="3" t="s">
        <v>17</v>
      </c>
      <c r="D463" s="3" t="s">
        <v>18</v>
      </c>
      <c r="E463" s="3" t="s">
        <v>156</v>
      </c>
      <c r="F463" s="3" t="s">
        <v>25</v>
      </c>
      <c r="G463" s="3" t="s">
        <v>21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/>
      <c r="P463" s="3" t="n">
        <v>50.5</v>
      </c>
    </row>
    <row r="464" customFormat="false" ht="15" hidden="false" customHeight="false" outlineLevel="0" collapsed="false">
      <c r="A464" s="3" t="s">
        <v>495</v>
      </c>
      <c r="B464" s="4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/>
      <c r="P464" s="3" t="n">
        <v>57.3</v>
      </c>
    </row>
    <row r="465" customFormat="false" ht="15" hidden="false" customHeight="false" outlineLevel="0" collapsed="false">
      <c r="A465" s="3" t="s">
        <v>496</v>
      </c>
      <c r="B465" s="4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3" t="n">
        <v>1</v>
      </c>
      <c r="I465" s="3" t="n">
        <v>1</v>
      </c>
      <c r="J465" s="3" t="n">
        <v>1</v>
      </c>
      <c r="K465" s="3" t="n">
        <v>0</v>
      </c>
      <c r="L465" s="3" t="n">
        <v>0</v>
      </c>
      <c r="M465" s="3" t="n">
        <v>0</v>
      </c>
      <c r="N465" s="3" t="n">
        <v>0</v>
      </c>
      <c r="O465" s="3"/>
      <c r="P465" s="3" t="n">
        <v>58.4</v>
      </c>
    </row>
    <row r="466" customFormat="false" ht="15" hidden="false" customHeight="false" outlineLevel="0" collapsed="false">
      <c r="A466" s="3" t="s">
        <v>497</v>
      </c>
      <c r="B466" s="4" t="n">
        <v>45759</v>
      </c>
      <c r="C466" s="3" t="s">
        <v>17</v>
      </c>
      <c r="D466" s="3" t="s">
        <v>18</v>
      </c>
      <c r="E466" s="3" t="s">
        <v>24</v>
      </c>
      <c r="F466" s="3" t="s">
        <v>156</v>
      </c>
      <c r="G466" s="3" t="s">
        <v>26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/>
      <c r="P466" s="3" t="n">
        <v>56.5</v>
      </c>
    </row>
    <row r="467" customFormat="false" ht="15" hidden="false" customHeight="false" outlineLevel="0" collapsed="false">
      <c r="A467" s="3" t="s">
        <v>498</v>
      </c>
      <c r="B467" s="4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/>
      <c r="P467" s="3" t="n">
        <v>69.6</v>
      </c>
    </row>
    <row r="468" customFormat="false" ht="15" hidden="false" customHeight="false" outlineLevel="0" collapsed="false">
      <c r="A468" s="3" t="s">
        <v>499</v>
      </c>
      <c r="B468" s="4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/>
      <c r="P468" s="3" t="n">
        <v>6.2</v>
      </c>
    </row>
    <row r="469" customFormat="false" ht="15" hidden="false" customHeight="false" outlineLevel="0" collapsed="false">
      <c r="A469" s="3" t="s">
        <v>500</v>
      </c>
      <c r="B469" s="4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3" t="n">
        <v>1</v>
      </c>
      <c r="I469" s="3" t="n">
        <v>1</v>
      </c>
      <c r="J469" s="3" t="n">
        <v>1</v>
      </c>
      <c r="K469" s="3" t="n">
        <v>0</v>
      </c>
      <c r="L469" s="3" t="n">
        <v>0</v>
      </c>
      <c r="M469" s="3" t="n">
        <v>0</v>
      </c>
      <c r="N469" s="3" t="n">
        <v>0</v>
      </c>
      <c r="O469" s="3"/>
      <c r="P469" s="3" t="n">
        <v>54.3</v>
      </c>
    </row>
    <row r="470" customFormat="false" ht="15" hidden="false" customHeight="false" outlineLevel="0" collapsed="false">
      <c r="A470" s="3" t="s">
        <v>501</v>
      </c>
      <c r="B470" s="4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/>
      <c r="P470" s="3" t="n">
        <v>59.8</v>
      </c>
    </row>
    <row r="471" customFormat="false" ht="15" hidden="false" customHeight="false" outlineLevel="0" collapsed="false">
      <c r="A471" s="3" t="s">
        <v>502</v>
      </c>
      <c r="B471" s="4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/>
      <c r="P471" s="3" t="n">
        <v>58.9</v>
      </c>
    </row>
    <row r="472" customFormat="false" ht="15" hidden="false" customHeight="false" outlineLevel="0" collapsed="false">
      <c r="A472" s="3" t="s">
        <v>503</v>
      </c>
      <c r="B472" s="4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1</v>
      </c>
      <c r="N472" s="3" t="n">
        <v>0</v>
      </c>
      <c r="O472" s="3"/>
      <c r="P472" s="3" t="n">
        <v>52.9</v>
      </c>
    </row>
    <row r="473" customFormat="false" ht="15" hidden="false" customHeight="false" outlineLevel="0" collapsed="false">
      <c r="A473" s="3" t="s">
        <v>504</v>
      </c>
      <c r="B473" s="4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/>
      <c r="P473" s="3" t="n">
        <v>67.8</v>
      </c>
    </row>
    <row r="474" customFormat="false" ht="15" hidden="false" customHeight="false" outlineLevel="0" collapsed="false">
      <c r="A474" s="3" t="s">
        <v>505</v>
      </c>
      <c r="B474" s="4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/>
      <c r="P474" s="3" t="n">
        <v>48.7</v>
      </c>
    </row>
    <row r="475" customFormat="false" ht="15" hidden="false" customHeight="false" outlineLevel="0" collapsed="false">
      <c r="A475" s="3" t="s">
        <v>506</v>
      </c>
      <c r="B475" s="4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/>
      <c r="P475" s="3" t="n">
        <v>59</v>
      </c>
    </row>
    <row r="476" customFormat="false" ht="15" hidden="false" customHeight="false" outlineLevel="0" collapsed="false">
      <c r="A476" s="3" t="s">
        <v>507</v>
      </c>
      <c r="B476" s="4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/>
      <c r="P476" s="3" t="n">
        <v>63.2</v>
      </c>
    </row>
    <row r="477" customFormat="false" ht="15" hidden="false" customHeight="false" outlineLevel="0" collapsed="false">
      <c r="A477" s="3" t="s">
        <v>508</v>
      </c>
      <c r="B477" s="4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3" t="n">
        <v>1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/>
      <c r="P477" s="3" t="n">
        <v>68.7</v>
      </c>
    </row>
    <row r="478" customFormat="false" ht="15" hidden="false" customHeight="false" outlineLevel="0" collapsed="false">
      <c r="A478" s="3" t="s">
        <v>509</v>
      </c>
      <c r="B478" s="4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/>
      <c r="P478" s="3" t="n">
        <v>52.1</v>
      </c>
    </row>
    <row r="479" customFormat="false" ht="15" hidden="false" customHeight="false" outlineLevel="0" collapsed="false">
      <c r="A479" s="3" t="s">
        <v>510</v>
      </c>
      <c r="B479" s="4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/>
      <c r="P479" s="3" t="n">
        <v>56.5</v>
      </c>
    </row>
    <row r="480" customFormat="false" ht="15" hidden="false" customHeight="false" outlineLevel="0" collapsed="false">
      <c r="A480" s="3" t="s">
        <v>511</v>
      </c>
      <c r="B480" s="4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3" t="n">
        <v>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/>
      <c r="P480" s="3" t="n">
        <v>64.4</v>
      </c>
    </row>
    <row r="481" customFormat="false" ht="15" hidden="false" customHeight="false" outlineLevel="0" collapsed="false">
      <c r="A481" s="3" t="s">
        <v>512</v>
      </c>
      <c r="B481" s="4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3" t="n">
        <v>1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/>
      <c r="P481" s="3" t="n">
        <v>65.9</v>
      </c>
    </row>
    <row r="482" customFormat="false" ht="15" hidden="false" customHeight="false" outlineLevel="0" collapsed="false">
      <c r="A482" s="3" t="s">
        <v>513</v>
      </c>
      <c r="B482" s="4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3" t="n">
        <v>1</v>
      </c>
      <c r="I482" s="3" t="n">
        <v>1</v>
      </c>
      <c r="J482" s="3" t="n">
        <v>1</v>
      </c>
      <c r="K482" s="3" t="n">
        <v>0</v>
      </c>
      <c r="L482" s="3" t="n">
        <v>0</v>
      </c>
      <c r="M482" s="3" t="n">
        <v>0</v>
      </c>
      <c r="N482" s="3" t="n">
        <v>0</v>
      </c>
      <c r="O482" s="3"/>
      <c r="P482" s="3" t="n">
        <v>100</v>
      </c>
    </row>
    <row r="483" customFormat="false" ht="15" hidden="false" customHeight="false" outlineLevel="0" collapsed="false">
      <c r="A483" s="3" t="s">
        <v>514</v>
      </c>
      <c r="B483" s="4" t="n">
        <v>45701</v>
      </c>
      <c r="C483" s="3" t="s">
        <v>17</v>
      </c>
      <c r="D483" s="3" t="s">
        <v>18</v>
      </c>
      <c r="E483" s="3" t="s">
        <v>156</v>
      </c>
      <c r="F483" s="3" t="s">
        <v>25</v>
      </c>
      <c r="G483" s="3" t="s">
        <v>21</v>
      </c>
      <c r="H483" s="3" t="n">
        <v>1</v>
      </c>
      <c r="I483" s="3" t="n">
        <v>1</v>
      </c>
      <c r="J483" s="3" t="n">
        <v>1</v>
      </c>
      <c r="K483" s="3" t="n">
        <v>0</v>
      </c>
      <c r="L483" s="3" t="n">
        <v>0</v>
      </c>
      <c r="M483" s="3" t="n">
        <v>0</v>
      </c>
      <c r="N483" s="3" t="n">
        <v>0</v>
      </c>
      <c r="O483" s="3"/>
      <c r="P483" s="3" t="n">
        <v>50.4</v>
      </c>
    </row>
    <row r="484" customFormat="false" ht="15" hidden="false" customHeight="false" outlineLevel="0" collapsed="false">
      <c r="A484" s="3" t="s">
        <v>515</v>
      </c>
      <c r="B484" s="4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/>
      <c r="P484" s="3" t="n">
        <v>41.5</v>
      </c>
    </row>
    <row r="485" customFormat="false" ht="15" hidden="false" customHeight="false" outlineLevel="0" collapsed="false">
      <c r="A485" s="3" t="s">
        <v>516</v>
      </c>
      <c r="B485" s="4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/>
      <c r="P485" s="3" t="n">
        <v>86.2</v>
      </c>
    </row>
    <row r="486" customFormat="false" ht="15" hidden="false" customHeight="false" outlineLevel="0" collapsed="false">
      <c r="A486" s="3" t="s">
        <v>517</v>
      </c>
      <c r="B486" s="4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3" t="n">
        <v>1</v>
      </c>
      <c r="I486" s="3" t="n">
        <v>1</v>
      </c>
      <c r="J486" s="3" t="n">
        <v>1</v>
      </c>
      <c r="K486" s="3" t="n">
        <v>0</v>
      </c>
      <c r="L486" s="3" t="n">
        <v>0</v>
      </c>
      <c r="M486" s="3" t="n">
        <v>2</v>
      </c>
      <c r="N486" s="3" t="n">
        <v>0</v>
      </c>
      <c r="O486" s="3"/>
      <c r="P486" s="3" t="n">
        <v>50.8</v>
      </c>
    </row>
    <row r="487" customFormat="false" ht="15" hidden="false" customHeight="false" outlineLevel="0" collapsed="false">
      <c r="A487" s="3" t="s">
        <v>518</v>
      </c>
      <c r="B487" s="4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/>
      <c r="P487" s="3" t="n">
        <v>50.9</v>
      </c>
    </row>
    <row r="488" customFormat="false" ht="15" hidden="false" customHeight="false" outlineLevel="0" collapsed="false">
      <c r="A488" s="3" t="s">
        <v>519</v>
      </c>
      <c r="B488" s="4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3" t="n">
        <v>1</v>
      </c>
      <c r="I488" s="3" t="n">
        <v>1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/>
      <c r="P488" s="3" t="n">
        <v>87.5</v>
      </c>
    </row>
    <row r="489" customFormat="false" ht="15" hidden="false" customHeight="false" outlineLevel="0" collapsed="false">
      <c r="A489" s="3" t="s">
        <v>520</v>
      </c>
      <c r="B489" s="4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/>
      <c r="P489" s="3" t="n">
        <v>43.6</v>
      </c>
    </row>
    <row r="490" customFormat="false" ht="15" hidden="false" customHeight="false" outlineLevel="0" collapsed="false">
      <c r="A490" s="3" t="s">
        <v>521</v>
      </c>
      <c r="B490" s="4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3" t="n">
        <v>1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/>
      <c r="P490" s="3" t="n">
        <v>55.5</v>
      </c>
    </row>
    <row r="491" customFormat="false" ht="15" hidden="false" customHeight="false" outlineLevel="0" collapsed="false">
      <c r="A491" s="3" t="s">
        <v>522</v>
      </c>
      <c r="B491" s="4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/>
      <c r="P491" s="3" t="n">
        <v>78.6</v>
      </c>
    </row>
    <row r="492" customFormat="false" ht="15" hidden="false" customHeight="false" outlineLevel="0" collapsed="false">
      <c r="A492" s="3" t="s">
        <v>523</v>
      </c>
      <c r="B492" s="4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3" t="n">
        <v>1</v>
      </c>
      <c r="I492" s="3" t="n">
        <v>1</v>
      </c>
      <c r="J492" s="3" t="n">
        <v>0</v>
      </c>
      <c r="K492" s="3" t="n">
        <v>0</v>
      </c>
      <c r="L492" s="3" t="n">
        <v>0</v>
      </c>
      <c r="M492" s="3" t="n">
        <v>1</v>
      </c>
      <c r="N492" s="3" t="n">
        <v>0</v>
      </c>
      <c r="O492" s="3"/>
      <c r="P492" s="3" t="n">
        <v>44.3</v>
      </c>
    </row>
    <row r="493" customFormat="false" ht="15" hidden="false" customHeight="false" outlineLevel="0" collapsed="false">
      <c r="A493" s="3" t="s">
        <v>524</v>
      </c>
      <c r="B493" s="4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3" t="n">
        <v>1</v>
      </c>
      <c r="I493" s="3" t="n">
        <v>1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/>
      <c r="P493" s="3" t="n">
        <v>45.2</v>
      </c>
    </row>
    <row r="494" customFormat="false" ht="15" hidden="false" customHeight="false" outlineLevel="0" collapsed="false">
      <c r="A494" s="3" t="s">
        <v>525</v>
      </c>
      <c r="B494" s="4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3" t="n">
        <v>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2</v>
      </c>
      <c r="N494" s="3" t="n">
        <v>0</v>
      </c>
      <c r="O494" s="3"/>
      <c r="P494" s="3" t="n">
        <v>46.1</v>
      </c>
    </row>
    <row r="495" customFormat="false" ht="15" hidden="false" customHeight="false" outlineLevel="0" collapsed="false">
      <c r="A495" s="3" t="s">
        <v>526</v>
      </c>
      <c r="B495" s="4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3" t="n">
        <v>1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/>
      <c r="P495" s="3" t="n">
        <v>49.6</v>
      </c>
    </row>
    <row r="496" customFormat="false" ht="15" hidden="false" customHeight="false" outlineLevel="0" collapsed="false">
      <c r="A496" s="3" t="s">
        <v>527</v>
      </c>
      <c r="B496" s="4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/>
      <c r="P496" s="3" t="n">
        <v>70.5</v>
      </c>
    </row>
    <row r="497" customFormat="false" ht="15" hidden="false" customHeight="false" outlineLevel="0" collapsed="false">
      <c r="A497" s="3" t="s">
        <v>528</v>
      </c>
      <c r="B497" s="4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1</v>
      </c>
      <c r="N497" s="3" t="n">
        <v>0</v>
      </c>
      <c r="O497" s="3"/>
      <c r="P497" s="3" t="n">
        <v>60.8</v>
      </c>
    </row>
    <row r="498" customFormat="false" ht="15" hidden="false" customHeight="false" outlineLevel="0" collapsed="false">
      <c r="A498" s="3" t="s">
        <v>529</v>
      </c>
      <c r="B498" s="4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1</v>
      </c>
      <c r="N498" s="3" t="n">
        <v>0</v>
      </c>
      <c r="O498" s="3"/>
      <c r="P498" s="3" t="n">
        <v>50.5</v>
      </c>
    </row>
    <row r="499" customFormat="false" ht="15" hidden="false" customHeight="false" outlineLevel="0" collapsed="false">
      <c r="A499" s="3" t="s">
        <v>530</v>
      </c>
      <c r="B499" s="4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3" t="n">
        <v>1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/>
      <c r="P499" s="3" t="n">
        <v>54.9</v>
      </c>
    </row>
    <row r="500" customFormat="false" ht="15" hidden="false" customHeight="false" outlineLevel="0" collapsed="false">
      <c r="A500" s="3" t="s">
        <v>531</v>
      </c>
      <c r="B500" s="4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/>
      <c r="P500" s="3" t="n">
        <v>29.9</v>
      </c>
    </row>
    <row r="501" customFormat="false" ht="15" hidden="false" customHeight="false" outlineLevel="0" collapsed="false">
      <c r="A501" s="3" t="s">
        <v>532</v>
      </c>
      <c r="B501" s="4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/>
      <c r="P501" s="3" t="n">
        <v>48.3</v>
      </c>
    </row>
    <row r="502" customFormat="false" ht="15" hidden="false" customHeight="false" outlineLevel="0" collapsed="false">
      <c r="A502" s="3" t="s">
        <v>533</v>
      </c>
      <c r="B502" s="4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513.61</v>
      </c>
      <c r="M502" s="3" t="n">
        <v>0</v>
      </c>
      <c r="N502" s="3" t="n">
        <v>0</v>
      </c>
      <c r="O502" s="3" t="n">
        <v>7</v>
      </c>
      <c r="P502" s="3" t="n">
        <v>41.3</v>
      </c>
    </row>
    <row r="503" customFormat="false" ht="15" hidden="false" customHeight="false" outlineLevel="0" collapsed="false">
      <c r="A503" s="3" t="s">
        <v>534</v>
      </c>
      <c r="B503" s="4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/>
      <c r="P503" s="3" t="n">
        <v>61.4</v>
      </c>
    </row>
    <row r="504" customFormat="false" ht="15" hidden="false" customHeight="false" outlineLevel="0" collapsed="false">
      <c r="A504" s="3" t="s">
        <v>535</v>
      </c>
      <c r="B504" s="4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/>
      <c r="P504" s="3" t="n">
        <v>57.8</v>
      </c>
    </row>
    <row r="505" customFormat="false" ht="15" hidden="false" customHeight="false" outlineLevel="0" collapsed="false">
      <c r="A505" s="3" t="s">
        <v>536</v>
      </c>
      <c r="B505" s="4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/>
      <c r="P505" s="3" t="n">
        <v>78.2</v>
      </c>
    </row>
    <row r="506" customFormat="false" ht="15" hidden="false" customHeight="false" outlineLevel="0" collapsed="false">
      <c r="A506" s="3" t="s">
        <v>537</v>
      </c>
      <c r="B506" s="4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/>
      <c r="P506" s="3" t="n">
        <v>63.8</v>
      </c>
    </row>
    <row r="507" customFormat="false" ht="15" hidden="false" customHeight="false" outlineLevel="0" collapsed="false">
      <c r="A507" s="3" t="s">
        <v>538</v>
      </c>
      <c r="B507" s="4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3" t="n">
        <v>1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/>
      <c r="P507" s="3" t="n">
        <v>56.8</v>
      </c>
    </row>
    <row r="508" customFormat="false" ht="15" hidden="false" customHeight="false" outlineLevel="0" collapsed="false">
      <c r="A508" s="3" t="s">
        <v>539</v>
      </c>
      <c r="B508" s="4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3" t="n">
        <v>1</v>
      </c>
      <c r="I508" s="3" t="n">
        <v>1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/>
      <c r="P508" s="3" t="n">
        <v>59.6</v>
      </c>
    </row>
    <row r="509" customFormat="false" ht="15" hidden="false" customHeight="false" outlineLevel="0" collapsed="false">
      <c r="A509" s="3" t="s">
        <v>540</v>
      </c>
      <c r="B509" s="4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3" t="n">
        <v>1</v>
      </c>
      <c r="I509" s="3" t="n">
        <v>1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/>
      <c r="P509" s="3" t="n">
        <v>50</v>
      </c>
    </row>
    <row r="510" customFormat="false" ht="15" hidden="false" customHeight="false" outlineLevel="0" collapsed="false">
      <c r="A510" s="3" t="s">
        <v>541</v>
      </c>
      <c r="B510" s="4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3" t="n">
        <v>1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/>
      <c r="P510" s="3" t="n">
        <v>35.7</v>
      </c>
    </row>
    <row r="511" customFormat="false" ht="15" hidden="false" customHeight="false" outlineLevel="0" collapsed="false">
      <c r="A511" s="3" t="s">
        <v>542</v>
      </c>
      <c r="B511" s="4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2</v>
      </c>
      <c r="N511" s="3" t="n">
        <v>0</v>
      </c>
      <c r="O511" s="3"/>
      <c r="P511" s="3" t="n">
        <v>47.2</v>
      </c>
    </row>
    <row r="512" customFormat="false" ht="15" hidden="false" customHeight="false" outlineLevel="0" collapsed="false">
      <c r="A512" s="3" t="s">
        <v>543</v>
      </c>
      <c r="B512" s="4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3" t="n">
        <v>1</v>
      </c>
      <c r="I512" s="3" t="n">
        <v>1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/>
      <c r="P512" s="3" t="n">
        <v>56.9</v>
      </c>
    </row>
    <row r="513" customFormat="false" ht="15" hidden="false" customHeight="false" outlineLevel="0" collapsed="false">
      <c r="A513" s="3" t="s">
        <v>544</v>
      </c>
      <c r="B513" s="4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1</v>
      </c>
      <c r="N513" s="3" t="n">
        <v>0</v>
      </c>
      <c r="O513" s="3"/>
      <c r="P513" s="3" t="n">
        <v>57.2</v>
      </c>
    </row>
    <row r="514" customFormat="false" ht="15" hidden="false" customHeight="false" outlineLevel="0" collapsed="false">
      <c r="A514" s="3" t="s">
        <v>545</v>
      </c>
      <c r="B514" s="4" t="n">
        <v>45701</v>
      </c>
      <c r="C514" s="3" t="s">
        <v>17</v>
      </c>
      <c r="D514" s="3" t="s">
        <v>32</v>
      </c>
      <c r="E514" s="3" t="s">
        <v>24</v>
      </c>
      <c r="F514" s="3" t="s">
        <v>156</v>
      </c>
      <c r="G514" s="3" t="s">
        <v>26</v>
      </c>
      <c r="H514" s="3" t="n">
        <v>1</v>
      </c>
      <c r="I514" s="3" t="n">
        <v>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/>
      <c r="P514" s="3" t="n">
        <v>31.4</v>
      </c>
    </row>
    <row r="515" customFormat="false" ht="15" hidden="false" customHeight="false" outlineLevel="0" collapsed="false">
      <c r="A515" s="3" t="s">
        <v>546</v>
      </c>
      <c r="B515" s="4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/>
      <c r="P515" s="3" t="n">
        <v>71.2</v>
      </c>
    </row>
    <row r="516" customFormat="false" ht="15" hidden="false" customHeight="false" outlineLevel="0" collapsed="false">
      <c r="A516" s="3" t="s">
        <v>547</v>
      </c>
      <c r="B516" s="4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3" t="n">
        <v>1</v>
      </c>
      <c r="I516" s="3" t="n">
        <v>1</v>
      </c>
      <c r="J516" s="3" t="n">
        <v>1</v>
      </c>
      <c r="K516" s="3" t="n">
        <v>0</v>
      </c>
      <c r="L516" s="3" t="n">
        <v>0</v>
      </c>
      <c r="M516" s="3" t="n">
        <v>1</v>
      </c>
      <c r="N516" s="3" t="n">
        <v>0</v>
      </c>
      <c r="O516" s="3"/>
      <c r="P516" s="3" t="n">
        <v>38.3</v>
      </c>
    </row>
    <row r="517" customFormat="false" ht="15" hidden="false" customHeight="false" outlineLevel="0" collapsed="false">
      <c r="A517" s="3" t="s">
        <v>548</v>
      </c>
      <c r="B517" s="4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3" t="n">
        <v>1</v>
      </c>
      <c r="I517" s="3" t="n">
        <v>1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/>
      <c r="P517" s="3" t="n">
        <v>63.1</v>
      </c>
    </row>
    <row r="518" customFormat="false" ht="15" hidden="false" customHeight="false" outlineLevel="0" collapsed="false">
      <c r="A518" s="3" t="s">
        <v>549</v>
      </c>
      <c r="B518" s="4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3" t="n">
        <v>1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/>
      <c r="P518" s="3" t="n">
        <v>59.7</v>
      </c>
    </row>
    <row r="519" customFormat="false" ht="15" hidden="false" customHeight="false" outlineLevel="0" collapsed="false">
      <c r="A519" s="3" t="s">
        <v>550</v>
      </c>
      <c r="B519" s="4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3" t="n">
        <v>1</v>
      </c>
      <c r="I519" s="3" t="n">
        <v>1</v>
      </c>
      <c r="J519" s="3" t="n">
        <v>1</v>
      </c>
      <c r="K519" s="3" t="n">
        <v>0</v>
      </c>
      <c r="L519" s="3" t="n">
        <v>0</v>
      </c>
      <c r="M519" s="3" t="n">
        <v>0</v>
      </c>
      <c r="N519" s="3" t="n">
        <v>0</v>
      </c>
      <c r="O519" s="3"/>
      <c r="P519" s="3" t="n">
        <v>59.5</v>
      </c>
    </row>
    <row r="520" customFormat="false" ht="15" hidden="false" customHeight="false" outlineLevel="0" collapsed="false">
      <c r="A520" s="3" t="s">
        <v>551</v>
      </c>
      <c r="B520" s="4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/>
      <c r="P520" s="3" t="n">
        <v>78.8</v>
      </c>
    </row>
    <row r="521" customFormat="false" ht="15" hidden="false" customHeight="false" outlineLevel="0" collapsed="false">
      <c r="A521" s="3" t="s">
        <v>552</v>
      </c>
      <c r="B521" s="4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/>
      <c r="P521" s="3" t="n">
        <v>54</v>
      </c>
    </row>
    <row r="522" customFormat="false" ht="15" hidden="false" customHeight="false" outlineLevel="0" collapsed="false">
      <c r="A522" s="3" t="s">
        <v>553</v>
      </c>
      <c r="B522" s="4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/>
      <c r="P522" s="3" t="n">
        <v>66.3</v>
      </c>
    </row>
    <row r="523" customFormat="false" ht="15" hidden="false" customHeight="false" outlineLevel="0" collapsed="false">
      <c r="A523" s="3" t="s">
        <v>554</v>
      </c>
      <c r="B523" s="4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3" t="n">
        <v>1</v>
      </c>
      <c r="I523" s="3" t="n">
        <v>1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/>
      <c r="P523" s="3" t="n">
        <v>54.7</v>
      </c>
    </row>
    <row r="524" customFormat="false" ht="15" hidden="false" customHeight="false" outlineLevel="0" collapsed="false">
      <c r="A524" s="3" t="s">
        <v>555</v>
      </c>
      <c r="B524" s="4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3" t="n">
        <v>1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/>
      <c r="P524" s="3" t="n">
        <v>76.7</v>
      </c>
    </row>
    <row r="525" customFormat="false" ht="15" hidden="false" customHeight="false" outlineLevel="0" collapsed="false">
      <c r="A525" s="3" t="s">
        <v>556</v>
      </c>
      <c r="B525" s="4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3" t="n">
        <v>1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2</v>
      </c>
      <c r="N525" s="3" t="n">
        <v>0</v>
      </c>
      <c r="O525" s="3"/>
      <c r="P525" s="3" t="n">
        <v>47.4</v>
      </c>
    </row>
    <row r="526" customFormat="false" ht="15" hidden="false" customHeight="false" outlineLevel="0" collapsed="false">
      <c r="A526" s="3" t="s">
        <v>557</v>
      </c>
      <c r="B526" s="4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3" t="n">
        <v>1</v>
      </c>
      <c r="I526" s="3" t="n">
        <v>1</v>
      </c>
      <c r="J526" s="3" t="n">
        <v>1</v>
      </c>
      <c r="K526" s="3" t="n">
        <v>0</v>
      </c>
      <c r="L526" s="3" t="n">
        <v>0</v>
      </c>
      <c r="M526" s="3" t="n">
        <v>0</v>
      </c>
      <c r="N526" s="3" t="n">
        <v>0</v>
      </c>
      <c r="O526" s="3"/>
      <c r="P526" s="3" t="n">
        <v>81.7</v>
      </c>
    </row>
    <row r="527" customFormat="false" ht="15" hidden="false" customHeight="false" outlineLevel="0" collapsed="false">
      <c r="A527" s="3" t="s">
        <v>558</v>
      </c>
      <c r="B527" s="4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3" t="n">
        <v>1</v>
      </c>
      <c r="I527" s="3" t="n">
        <v>1</v>
      </c>
      <c r="J527" s="3" t="n">
        <v>1</v>
      </c>
      <c r="K527" s="3" t="n">
        <v>0</v>
      </c>
      <c r="L527" s="3" t="n">
        <v>0</v>
      </c>
      <c r="M527" s="3" t="n">
        <v>0</v>
      </c>
      <c r="N527" s="3" t="n">
        <v>0</v>
      </c>
      <c r="O527" s="3"/>
      <c r="P527" s="3" t="n">
        <v>67.5</v>
      </c>
    </row>
    <row r="528" customFormat="false" ht="15" hidden="false" customHeight="false" outlineLevel="0" collapsed="false">
      <c r="A528" s="3" t="s">
        <v>559</v>
      </c>
      <c r="B528" s="4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/>
      <c r="P528" s="3" t="n">
        <v>36.8</v>
      </c>
    </row>
    <row r="529" customFormat="false" ht="15" hidden="false" customHeight="false" outlineLevel="0" collapsed="false">
      <c r="A529" s="3" t="s">
        <v>560</v>
      </c>
      <c r="B529" s="4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/>
      <c r="P529" s="3" t="n">
        <v>66.5</v>
      </c>
    </row>
    <row r="530" customFormat="false" ht="15" hidden="false" customHeight="false" outlineLevel="0" collapsed="false">
      <c r="A530" s="3" t="s">
        <v>561</v>
      </c>
      <c r="B530" s="4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/>
      <c r="P530" s="3" t="n">
        <v>35.4</v>
      </c>
    </row>
    <row r="531" customFormat="false" ht="15" hidden="false" customHeight="false" outlineLevel="0" collapsed="false">
      <c r="A531" s="3" t="s">
        <v>562</v>
      </c>
      <c r="B531" s="4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/>
      <c r="P531" s="3" t="n">
        <v>64.3</v>
      </c>
    </row>
    <row r="532" customFormat="false" ht="15" hidden="false" customHeight="false" outlineLevel="0" collapsed="false">
      <c r="A532" s="3" t="s">
        <v>563</v>
      </c>
      <c r="B532" s="4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/>
      <c r="P532" s="3" t="n">
        <v>49.1</v>
      </c>
    </row>
    <row r="533" customFormat="false" ht="15" hidden="false" customHeight="false" outlineLevel="0" collapsed="false">
      <c r="A533" s="3" t="s">
        <v>564</v>
      </c>
      <c r="B533" s="4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3" t="n">
        <v>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/>
      <c r="P533" s="3" t="n">
        <v>84.3</v>
      </c>
    </row>
    <row r="534" customFormat="false" ht="15" hidden="false" customHeight="false" outlineLevel="0" collapsed="false">
      <c r="A534" s="3" t="s">
        <v>565</v>
      </c>
      <c r="B534" s="4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3" t="n">
        <v>1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/>
      <c r="P534" s="3" t="n">
        <v>65.6</v>
      </c>
    </row>
    <row r="535" customFormat="false" ht="15" hidden="false" customHeight="false" outlineLevel="0" collapsed="false">
      <c r="A535" s="3" t="s">
        <v>566</v>
      </c>
      <c r="B535" s="4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3" t="n">
        <v>1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/>
      <c r="P535" s="3" t="n">
        <v>47.1</v>
      </c>
    </row>
    <row r="536" customFormat="false" ht="15" hidden="false" customHeight="false" outlineLevel="0" collapsed="false">
      <c r="A536" s="3" t="s">
        <v>567</v>
      </c>
      <c r="B536" s="4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3" t="n">
        <v>1</v>
      </c>
      <c r="I536" s="3" t="n">
        <v>1</v>
      </c>
      <c r="J536" s="3" t="n">
        <v>1</v>
      </c>
      <c r="K536" s="3" t="n">
        <v>0</v>
      </c>
      <c r="L536" s="3" t="n">
        <v>0</v>
      </c>
      <c r="M536" s="3" t="n">
        <v>0</v>
      </c>
      <c r="N536" s="3" t="n">
        <v>0</v>
      </c>
      <c r="O536" s="3"/>
      <c r="P536" s="3" t="n">
        <v>70</v>
      </c>
    </row>
    <row r="537" customFormat="false" ht="15" hidden="false" customHeight="false" outlineLevel="0" collapsed="false">
      <c r="A537" s="3" t="s">
        <v>568</v>
      </c>
      <c r="B537" s="4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3" t="n">
        <v>1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/>
      <c r="P537" s="3" t="n">
        <v>54.6</v>
      </c>
    </row>
    <row r="538" customFormat="false" ht="15" hidden="false" customHeight="false" outlineLevel="0" collapsed="false">
      <c r="A538" s="3" t="s">
        <v>569</v>
      </c>
      <c r="B538" s="4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3" t="n">
        <v>1</v>
      </c>
      <c r="I538" s="3" t="n">
        <v>1</v>
      </c>
      <c r="J538" s="3" t="n">
        <v>0</v>
      </c>
      <c r="K538" s="3" t="n">
        <v>0</v>
      </c>
      <c r="L538" s="3" t="n">
        <v>0</v>
      </c>
      <c r="M538" s="3" t="n">
        <v>1</v>
      </c>
      <c r="N538" s="3" t="n">
        <v>0</v>
      </c>
      <c r="O538" s="3"/>
      <c r="P538" s="3" t="n">
        <v>65.2</v>
      </c>
    </row>
    <row r="539" customFormat="false" ht="15" hidden="false" customHeight="false" outlineLevel="0" collapsed="false">
      <c r="A539" s="3" t="s">
        <v>570</v>
      </c>
      <c r="B539" s="4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3" t="n">
        <v>1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/>
      <c r="P539" s="3" t="n">
        <v>65</v>
      </c>
    </row>
    <row r="540" customFormat="false" ht="15" hidden="false" customHeight="false" outlineLevel="0" collapsed="false">
      <c r="A540" s="3" t="s">
        <v>571</v>
      </c>
      <c r="B540" s="4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3" t="n">
        <v>1</v>
      </c>
      <c r="I540" s="3" t="n">
        <v>1</v>
      </c>
      <c r="J540" s="3" t="n">
        <v>1</v>
      </c>
      <c r="K540" s="3" t="n">
        <v>0</v>
      </c>
      <c r="L540" s="3" t="n">
        <v>0</v>
      </c>
      <c r="M540" s="3" t="n">
        <v>1</v>
      </c>
      <c r="N540" s="3" t="n">
        <v>0</v>
      </c>
      <c r="O540" s="3"/>
      <c r="P540" s="3" t="n">
        <v>42.1</v>
      </c>
    </row>
    <row r="541" customFormat="false" ht="15" hidden="false" customHeight="false" outlineLevel="0" collapsed="false">
      <c r="A541" s="3" t="s">
        <v>572</v>
      </c>
      <c r="B541" s="4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3" t="n">
        <v>1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/>
      <c r="P541" s="3" t="n">
        <v>43.4</v>
      </c>
    </row>
    <row r="542" customFormat="false" ht="15" hidden="false" customHeight="false" outlineLevel="0" collapsed="false">
      <c r="A542" s="3" t="s">
        <v>573</v>
      </c>
      <c r="B542" s="4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3" t="n">
        <v>1</v>
      </c>
      <c r="I542" s="3" t="n">
        <v>1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/>
      <c r="P542" s="3" t="n">
        <v>39.9</v>
      </c>
    </row>
    <row r="543" customFormat="false" ht="15" hidden="false" customHeight="false" outlineLevel="0" collapsed="false">
      <c r="A543" s="3" t="s">
        <v>574</v>
      </c>
      <c r="B543" s="4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/>
      <c r="P543" s="3" t="n">
        <v>74.1</v>
      </c>
    </row>
    <row r="544" customFormat="false" ht="15" hidden="false" customHeight="false" outlineLevel="0" collapsed="false">
      <c r="A544" s="3" t="s">
        <v>575</v>
      </c>
      <c r="B544" s="4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3" t="n">
        <v>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/>
      <c r="P544" s="3" t="n">
        <v>61.4</v>
      </c>
    </row>
    <row r="545" customFormat="false" ht="15" hidden="false" customHeight="false" outlineLevel="0" collapsed="false">
      <c r="A545" s="3" t="s">
        <v>576</v>
      </c>
      <c r="B545" s="4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3" t="n">
        <v>1</v>
      </c>
      <c r="I545" s="3" t="n">
        <v>1</v>
      </c>
      <c r="J545" s="3" t="n">
        <v>1</v>
      </c>
      <c r="K545" s="3" t="n">
        <v>0</v>
      </c>
      <c r="L545" s="3" t="n">
        <v>0</v>
      </c>
      <c r="M545" s="3" t="n">
        <v>0</v>
      </c>
      <c r="N545" s="3" t="n">
        <v>0</v>
      </c>
      <c r="O545" s="3"/>
      <c r="P545" s="3" t="n">
        <v>76.8</v>
      </c>
    </row>
    <row r="546" customFormat="false" ht="15" hidden="false" customHeight="false" outlineLevel="0" collapsed="false">
      <c r="A546" s="3" t="s">
        <v>577</v>
      </c>
      <c r="B546" s="4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/>
      <c r="P546" s="3"/>
    </row>
    <row r="547" customFormat="false" ht="15" hidden="false" customHeight="false" outlineLevel="0" collapsed="false">
      <c r="A547" s="3" t="s">
        <v>578</v>
      </c>
      <c r="B547" s="4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3" t="n">
        <v>1</v>
      </c>
      <c r="I547" s="3" t="n">
        <v>1</v>
      </c>
      <c r="J547" s="3" t="n">
        <v>1</v>
      </c>
      <c r="K547" s="3" t="n">
        <v>0</v>
      </c>
      <c r="L547" s="3" t="n">
        <v>0</v>
      </c>
      <c r="M547" s="3" t="n">
        <v>0</v>
      </c>
      <c r="N547" s="3" t="n">
        <v>0</v>
      </c>
      <c r="O547" s="3"/>
      <c r="P547" s="3" t="n">
        <v>45.3</v>
      </c>
    </row>
    <row r="548" customFormat="false" ht="15" hidden="false" customHeight="false" outlineLevel="0" collapsed="false">
      <c r="A548" s="3" t="s">
        <v>579</v>
      </c>
      <c r="B548" s="4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3" t="n">
        <v>1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/>
      <c r="P548" s="3" t="n">
        <v>41.4</v>
      </c>
    </row>
    <row r="549" customFormat="false" ht="15" hidden="false" customHeight="false" outlineLevel="0" collapsed="false">
      <c r="A549" s="3" t="s">
        <v>580</v>
      </c>
      <c r="B549" s="4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3" t="n">
        <v>1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/>
      <c r="P549" s="3" t="n">
        <v>37.1</v>
      </c>
    </row>
    <row r="550" customFormat="false" ht="15" hidden="false" customHeight="false" outlineLevel="0" collapsed="false">
      <c r="A550" s="3" t="s">
        <v>581</v>
      </c>
      <c r="B550" s="4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3" t="n">
        <v>1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/>
      <c r="P550" s="3" t="n">
        <v>40.7</v>
      </c>
    </row>
    <row r="551" customFormat="false" ht="15" hidden="false" customHeight="false" outlineLevel="0" collapsed="false">
      <c r="A551" s="3" t="s">
        <v>582</v>
      </c>
      <c r="B551" s="4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2</v>
      </c>
      <c r="N551" s="3" t="n">
        <v>0</v>
      </c>
      <c r="O551" s="3"/>
      <c r="P551" s="3" t="n">
        <v>55.9</v>
      </c>
    </row>
    <row r="552" customFormat="false" ht="15" hidden="false" customHeight="false" outlineLevel="0" collapsed="false">
      <c r="A552" s="3" t="s">
        <v>583</v>
      </c>
      <c r="B552" s="4" t="n">
        <v>45699</v>
      </c>
      <c r="C552" s="3" t="s">
        <v>17</v>
      </c>
      <c r="D552" s="3" t="s">
        <v>28</v>
      </c>
      <c r="E552" s="3" t="s">
        <v>156</v>
      </c>
      <c r="F552" s="3" t="s">
        <v>41</v>
      </c>
      <c r="G552" s="3" t="s">
        <v>26</v>
      </c>
      <c r="H552" s="3" t="n">
        <v>1</v>
      </c>
      <c r="I552" s="3" t="n">
        <v>1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/>
      <c r="P552" s="3" t="n">
        <v>55.8</v>
      </c>
    </row>
    <row r="553" customFormat="false" ht="15" hidden="false" customHeight="false" outlineLevel="0" collapsed="false">
      <c r="A553" s="3" t="s">
        <v>584</v>
      </c>
      <c r="B553" s="4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3" t="n">
        <v>1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/>
      <c r="P553" s="3" t="n">
        <v>64.3</v>
      </c>
    </row>
    <row r="554" customFormat="false" ht="15" hidden="false" customHeight="false" outlineLevel="0" collapsed="false">
      <c r="A554" s="3" t="s">
        <v>585</v>
      </c>
      <c r="B554" s="4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/>
      <c r="P554" s="3" t="n">
        <v>65.4</v>
      </c>
    </row>
    <row r="555" customFormat="false" ht="15" hidden="false" customHeight="false" outlineLevel="0" collapsed="false">
      <c r="A555" s="3" t="s">
        <v>586</v>
      </c>
      <c r="B555" s="4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3" t="n">
        <v>1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/>
      <c r="P555" s="3" t="n">
        <v>89.8</v>
      </c>
    </row>
    <row r="556" customFormat="false" ht="15" hidden="false" customHeight="false" outlineLevel="0" collapsed="false">
      <c r="A556" s="3" t="s">
        <v>587</v>
      </c>
      <c r="B556" s="4" t="n">
        <v>45699</v>
      </c>
      <c r="C556" s="3" t="s">
        <v>17</v>
      </c>
      <c r="D556" s="3" t="s">
        <v>32</v>
      </c>
      <c r="E556" s="3" t="s">
        <v>156</v>
      </c>
      <c r="F556" s="3" t="s">
        <v>25</v>
      </c>
      <c r="G556" s="3" t="s">
        <v>26</v>
      </c>
      <c r="H556" s="3" t="n">
        <v>1</v>
      </c>
      <c r="I556" s="3" t="n">
        <v>1</v>
      </c>
      <c r="J556" s="3" t="n">
        <v>1</v>
      </c>
      <c r="K556" s="3" t="n">
        <v>0</v>
      </c>
      <c r="L556" s="3" t="n">
        <v>0</v>
      </c>
      <c r="M556" s="3" t="n">
        <v>0</v>
      </c>
      <c r="N556" s="3" t="n">
        <v>0</v>
      </c>
      <c r="O556" s="3"/>
      <c r="P556" s="3" t="n">
        <v>58.3</v>
      </c>
    </row>
    <row r="557" customFormat="false" ht="15" hidden="false" customHeight="false" outlineLevel="0" collapsed="false">
      <c r="A557" s="3" t="s">
        <v>588</v>
      </c>
      <c r="B557" s="4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3" t="n">
        <v>1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/>
      <c r="P557" s="3" t="n">
        <v>64.4</v>
      </c>
    </row>
    <row r="558" customFormat="false" ht="15" hidden="false" customHeight="false" outlineLevel="0" collapsed="false">
      <c r="A558" s="3" t="s">
        <v>589</v>
      </c>
      <c r="B558" s="4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/>
      <c r="P558" s="3" t="n">
        <v>46.2</v>
      </c>
    </row>
    <row r="559" customFormat="false" ht="15" hidden="false" customHeight="false" outlineLevel="0" collapsed="false">
      <c r="A559" s="3" t="s">
        <v>590</v>
      </c>
      <c r="B559" s="4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/>
      <c r="P559" s="3" t="n">
        <v>78</v>
      </c>
    </row>
    <row r="560" customFormat="false" ht="15" hidden="false" customHeight="false" outlineLevel="0" collapsed="false">
      <c r="A560" s="3" t="s">
        <v>591</v>
      </c>
      <c r="B560" s="4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3" t="n">
        <v>1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/>
      <c r="P560" s="3" t="n">
        <v>62.3</v>
      </c>
    </row>
    <row r="561" customFormat="false" ht="15" hidden="false" customHeight="false" outlineLevel="0" collapsed="false">
      <c r="A561" s="3" t="s">
        <v>592</v>
      </c>
      <c r="B561" s="4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3" t="n">
        <v>1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/>
      <c r="P561" s="3" t="n">
        <v>78.8</v>
      </c>
    </row>
    <row r="562" customFormat="false" ht="15" hidden="false" customHeight="false" outlineLevel="0" collapsed="false">
      <c r="A562" s="3" t="s">
        <v>593</v>
      </c>
      <c r="B562" s="4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3" t="n">
        <v>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/>
      <c r="P562" s="3" t="n">
        <v>25</v>
      </c>
    </row>
    <row r="563" customFormat="false" ht="15" hidden="false" customHeight="false" outlineLevel="0" collapsed="false">
      <c r="A563" s="3" t="s">
        <v>594</v>
      </c>
      <c r="B563" s="4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/>
      <c r="P563" s="3" t="n">
        <v>53.4</v>
      </c>
    </row>
    <row r="564" customFormat="false" ht="15" hidden="false" customHeight="false" outlineLevel="0" collapsed="false">
      <c r="A564" s="3" t="s">
        <v>595</v>
      </c>
      <c r="B564" s="4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/>
      <c r="P564" s="3" t="n">
        <v>40.7</v>
      </c>
    </row>
    <row r="565" customFormat="false" ht="15" hidden="false" customHeight="false" outlineLevel="0" collapsed="false">
      <c r="A565" s="3" t="s">
        <v>596</v>
      </c>
      <c r="B565" s="4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3" t="n">
        <v>1</v>
      </c>
      <c r="I565" s="3" t="n">
        <v>1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/>
      <c r="P565" s="3" t="n">
        <v>36.7</v>
      </c>
    </row>
    <row r="566" customFormat="false" ht="15" hidden="false" customHeight="false" outlineLevel="0" collapsed="false">
      <c r="A566" s="3" t="s">
        <v>597</v>
      </c>
      <c r="B566" s="4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1</v>
      </c>
      <c r="N566" s="3" t="n">
        <v>0</v>
      </c>
      <c r="O566" s="3"/>
      <c r="P566" s="3" t="n">
        <v>67.5</v>
      </c>
    </row>
    <row r="567" customFormat="false" ht="15" hidden="false" customHeight="false" outlineLevel="0" collapsed="false">
      <c r="A567" s="3" t="s">
        <v>598</v>
      </c>
      <c r="B567" s="4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3" t="n">
        <v>1</v>
      </c>
      <c r="I567" s="3" t="n">
        <v>1</v>
      </c>
      <c r="J567" s="3" t="n">
        <v>1</v>
      </c>
      <c r="K567" s="3" t="n">
        <v>0</v>
      </c>
      <c r="L567" s="3" t="n">
        <v>0</v>
      </c>
      <c r="M567" s="3" t="n">
        <v>0</v>
      </c>
      <c r="N567" s="3" t="n">
        <v>0</v>
      </c>
      <c r="O567" s="3"/>
      <c r="P567" s="3" t="n">
        <v>69.9</v>
      </c>
    </row>
    <row r="568" customFormat="false" ht="15" hidden="false" customHeight="false" outlineLevel="0" collapsed="false">
      <c r="A568" s="3" t="s">
        <v>599</v>
      </c>
      <c r="B568" s="4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3" t="n">
        <v>1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/>
      <c r="P568" s="3" t="n">
        <v>65.1</v>
      </c>
    </row>
    <row r="569" customFormat="false" ht="15" hidden="false" customHeight="false" outlineLevel="0" collapsed="false">
      <c r="A569" s="3" t="s">
        <v>600</v>
      </c>
      <c r="B569" s="4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3" t="n">
        <v>1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/>
      <c r="P569" s="3" t="n">
        <v>48.7</v>
      </c>
    </row>
    <row r="570" customFormat="false" ht="15" hidden="false" customHeight="false" outlineLevel="0" collapsed="false">
      <c r="A570" s="3" t="s">
        <v>601</v>
      </c>
      <c r="B570" s="4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3" t="n">
        <v>1</v>
      </c>
      <c r="I570" s="3" t="n">
        <v>1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/>
      <c r="P570" s="3" t="n">
        <v>47.2</v>
      </c>
    </row>
    <row r="571" customFormat="false" ht="15" hidden="false" customHeight="false" outlineLevel="0" collapsed="false">
      <c r="A571" s="3" t="s">
        <v>602</v>
      </c>
      <c r="B571" s="4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3" t="n">
        <v>1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2</v>
      </c>
      <c r="N571" s="3" t="n">
        <v>0</v>
      </c>
      <c r="O571" s="3"/>
      <c r="P571" s="3" t="n">
        <v>20.3</v>
      </c>
    </row>
    <row r="572" customFormat="false" ht="15" hidden="false" customHeight="false" outlineLevel="0" collapsed="false">
      <c r="A572" s="3" t="s">
        <v>603</v>
      </c>
      <c r="B572" s="4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1</v>
      </c>
      <c r="N572" s="3" t="n">
        <v>0</v>
      </c>
      <c r="O572" s="3"/>
      <c r="P572" s="3" t="n">
        <v>57.8</v>
      </c>
    </row>
    <row r="573" customFormat="false" ht="15" hidden="false" customHeight="false" outlineLevel="0" collapsed="false">
      <c r="A573" s="3" t="s">
        <v>604</v>
      </c>
      <c r="B573" s="4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3" t="n">
        <v>1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/>
      <c r="P573" s="3" t="n">
        <v>78.7</v>
      </c>
    </row>
    <row r="574" customFormat="false" ht="15" hidden="false" customHeight="false" outlineLevel="0" collapsed="false">
      <c r="A574" s="3" t="s">
        <v>605</v>
      </c>
      <c r="B574" s="4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3" t="n">
        <v>1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/>
      <c r="P574" s="3" t="n">
        <v>63.6</v>
      </c>
    </row>
    <row r="575" customFormat="false" ht="15" hidden="false" customHeight="false" outlineLevel="0" collapsed="false">
      <c r="A575" s="3" t="s">
        <v>606</v>
      </c>
      <c r="B575" s="4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2</v>
      </c>
      <c r="N575" s="3" t="n">
        <v>0</v>
      </c>
      <c r="O575" s="3"/>
      <c r="P575" s="3" t="n">
        <v>45.1</v>
      </c>
    </row>
    <row r="576" customFormat="false" ht="15" hidden="false" customHeight="false" outlineLevel="0" collapsed="false">
      <c r="A576" s="3" t="s">
        <v>607</v>
      </c>
      <c r="B576" s="4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/>
      <c r="P576" s="3" t="n">
        <v>77.5</v>
      </c>
    </row>
    <row r="577" customFormat="false" ht="15" hidden="false" customHeight="false" outlineLevel="0" collapsed="false">
      <c r="A577" s="3" t="s">
        <v>608</v>
      </c>
      <c r="B577" s="4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3" t="n">
        <v>1</v>
      </c>
      <c r="I577" s="3" t="n">
        <v>1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/>
      <c r="P577" s="3" t="n">
        <v>58</v>
      </c>
    </row>
    <row r="578" customFormat="false" ht="15" hidden="false" customHeight="false" outlineLevel="0" collapsed="false">
      <c r="A578" s="3" t="s">
        <v>609</v>
      </c>
      <c r="B578" s="4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3" t="n">
        <v>1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/>
      <c r="P578" s="3" t="n">
        <v>68.1</v>
      </c>
    </row>
    <row r="579" customFormat="false" ht="15" hidden="false" customHeight="false" outlineLevel="0" collapsed="false">
      <c r="A579" s="3" t="s">
        <v>610</v>
      </c>
      <c r="B579" s="4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3" t="n">
        <v>1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/>
      <c r="P579" s="3" t="n">
        <v>35.4</v>
      </c>
    </row>
    <row r="580" customFormat="false" ht="15" hidden="false" customHeight="false" outlineLevel="0" collapsed="false">
      <c r="A580" s="3" t="s">
        <v>611</v>
      </c>
      <c r="B580" s="4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/>
      <c r="P580" s="3" t="n">
        <v>47</v>
      </c>
    </row>
    <row r="581" customFormat="false" ht="15" hidden="false" customHeight="false" outlineLevel="0" collapsed="false">
      <c r="A581" s="3" t="s">
        <v>612</v>
      </c>
      <c r="B581" s="4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/>
      <c r="P581" s="3" t="n">
        <v>75</v>
      </c>
    </row>
    <row r="582" customFormat="false" ht="15" hidden="false" customHeight="false" outlineLevel="0" collapsed="false">
      <c r="A582" s="3" t="s">
        <v>613</v>
      </c>
      <c r="B582" s="4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3" t="n">
        <v>1</v>
      </c>
      <c r="I582" s="3" t="n">
        <v>1</v>
      </c>
      <c r="J582" s="3" t="n">
        <v>1</v>
      </c>
      <c r="K582" s="3" t="n">
        <v>0</v>
      </c>
      <c r="L582" s="3" t="n">
        <v>0</v>
      </c>
      <c r="M582" s="3" t="n">
        <v>3</v>
      </c>
      <c r="N582" s="3" t="n">
        <v>0</v>
      </c>
      <c r="O582" s="3"/>
      <c r="P582" s="3" t="n">
        <v>50.2</v>
      </c>
    </row>
    <row r="583" customFormat="false" ht="15" hidden="false" customHeight="false" outlineLevel="0" collapsed="false">
      <c r="A583" s="3" t="s">
        <v>614</v>
      </c>
      <c r="B583" s="4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3" t="n">
        <v>1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/>
      <c r="P583" s="3" t="n">
        <v>40.1</v>
      </c>
    </row>
    <row r="584" customFormat="false" ht="15" hidden="false" customHeight="false" outlineLevel="0" collapsed="false">
      <c r="A584" s="3" t="s">
        <v>615</v>
      </c>
      <c r="B584" s="4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/>
      <c r="P584" s="3" t="n">
        <v>61.1</v>
      </c>
    </row>
    <row r="585" customFormat="false" ht="15" hidden="false" customHeight="false" outlineLevel="0" collapsed="false">
      <c r="A585" s="3" t="s">
        <v>616</v>
      </c>
      <c r="B585" s="4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/>
      <c r="P585" s="3" t="n">
        <v>42.4</v>
      </c>
    </row>
    <row r="586" customFormat="false" ht="15" hidden="false" customHeight="false" outlineLevel="0" collapsed="false">
      <c r="A586" s="3" t="s">
        <v>617</v>
      </c>
      <c r="B586" s="4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1</v>
      </c>
      <c r="N586" s="3" t="n">
        <v>0</v>
      </c>
      <c r="O586" s="3"/>
      <c r="P586" s="3" t="n">
        <v>46.6</v>
      </c>
    </row>
    <row r="587" customFormat="false" ht="15" hidden="false" customHeight="false" outlineLevel="0" collapsed="false">
      <c r="A587" s="3" t="s">
        <v>618</v>
      </c>
      <c r="B587" s="4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3" t="n">
        <v>1</v>
      </c>
      <c r="I587" s="3" t="n">
        <v>1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/>
      <c r="P587" s="3" t="n">
        <v>72.1</v>
      </c>
    </row>
    <row r="588" customFormat="false" ht="15" hidden="false" customHeight="false" outlineLevel="0" collapsed="false">
      <c r="A588" s="3" t="s">
        <v>619</v>
      </c>
      <c r="B588" s="4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/>
      <c r="P588" s="3" t="n">
        <v>21.5</v>
      </c>
    </row>
    <row r="589" customFormat="false" ht="15" hidden="false" customHeight="false" outlineLevel="0" collapsed="false">
      <c r="A589" s="3" t="s">
        <v>620</v>
      </c>
      <c r="B589" s="4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3" t="n">
        <v>1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1</v>
      </c>
      <c r="N589" s="3" t="n">
        <v>0</v>
      </c>
      <c r="O589" s="3"/>
      <c r="P589" s="3" t="n">
        <v>65.4</v>
      </c>
    </row>
    <row r="590" customFormat="false" ht="15" hidden="false" customHeight="false" outlineLevel="0" collapsed="false">
      <c r="A590" s="3" t="s">
        <v>621</v>
      </c>
      <c r="B590" s="4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3" t="n">
        <v>1</v>
      </c>
      <c r="I590" s="3" t="n">
        <v>1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/>
      <c r="P590" s="3" t="n">
        <v>53.3</v>
      </c>
    </row>
    <row r="591" customFormat="false" ht="15" hidden="false" customHeight="false" outlineLevel="0" collapsed="false">
      <c r="A591" s="3" t="s">
        <v>622</v>
      </c>
      <c r="B591" s="4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2</v>
      </c>
      <c r="N591" s="3" t="n">
        <v>0</v>
      </c>
      <c r="O591" s="3"/>
      <c r="P591" s="3" t="n">
        <v>52.3</v>
      </c>
    </row>
    <row r="592" customFormat="false" ht="15" hidden="false" customHeight="false" outlineLevel="0" collapsed="false">
      <c r="A592" s="3" t="s">
        <v>623</v>
      </c>
      <c r="B592" s="4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3" t="n">
        <v>1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/>
      <c r="P592" s="3" t="n">
        <v>62.5</v>
      </c>
    </row>
    <row r="593" customFormat="false" ht="15" hidden="false" customHeight="false" outlineLevel="0" collapsed="false">
      <c r="A593" s="3" t="s">
        <v>624</v>
      </c>
      <c r="B593" s="4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3" t="n">
        <v>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/>
      <c r="P593" s="3" t="n">
        <v>69.8</v>
      </c>
    </row>
    <row r="594" customFormat="false" ht="15" hidden="false" customHeight="false" outlineLevel="0" collapsed="false">
      <c r="A594" s="3" t="s">
        <v>625</v>
      </c>
      <c r="B594" s="4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3" t="n">
        <v>1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/>
      <c r="P594" s="3" t="n">
        <v>68.2</v>
      </c>
    </row>
    <row r="595" customFormat="false" ht="15" hidden="false" customHeight="false" outlineLevel="0" collapsed="false">
      <c r="A595" s="3" t="s">
        <v>626</v>
      </c>
      <c r="B595" s="4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751.73</v>
      </c>
      <c r="M595" s="3" t="n">
        <v>0</v>
      </c>
      <c r="N595" s="3" t="n">
        <v>0</v>
      </c>
      <c r="O595" s="3" t="n">
        <v>6</v>
      </c>
      <c r="P595" s="3" t="n">
        <v>35.2</v>
      </c>
    </row>
    <row r="596" customFormat="false" ht="15" hidden="false" customHeight="false" outlineLevel="0" collapsed="false">
      <c r="A596" s="3" t="s">
        <v>627</v>
      </c>
      <c r="B596" s="4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/>
      <c r="P596" s="3" t="n">
        <v>59.3</v>
      </c>
    </row>
    <row r="597" customFormat="false" ht="15" hidden="false" customHeight="false" outlineLevel="0" collapsed="false">
      <c r="A597" s="3" t="s">
        <v>628</v>
      </c>
      <c r="B597" s="4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/>
      <c r="P597" s="3" t="n">
        <v>68.1</v>
      </c>
    </row>
    <row r="598" customFormat="false" ht="15" hidden="false" customHeight="false" outlineLevel="0" collapsed="false">
      <c r="A598" s="3" t="s">
        <v>629</v>
      </c>
      <c r="B598" s="4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3" t="n">
        <v>1</v>
      </c>
      <c r="I598" s="3" t="n">
        <v>1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/>
      <c r="P598" s="3" t="n">
        <v>74.8</v>
      </c>
    </row>
    <row r="599" customFormat="false" ht="15" hidden="false" customHeight="false" outlineLevel="0" collapsed="false">
      <c r="A599" s="3" t="s">
        <v>630</v>
      </c>
      <c r="B599" s="4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3" t="n">
        <v>1</v>
      </c>
      <c r="I599" s="3" t="n">
        <v>1</v>
      </c>
      <c r="J599" s="3" t="n">
        <v>1</v>
      </c>
      <c r="K599" s="3" t="n">
        <v>0</v>
      </c>
      <c r="L599" s="3" t="n">
        <v>0</v>
      </c>
      <c r="M599" s="3" t="n">
        <v>0</v>
      </c>
      <c r="N599" s="3" t="n">
        <v>0</v>
      </c>
      <c r="O599" s="3"/>
      <c r="P599" s="3" t="n">
        <v>61.7</v>
      </c>
    </row>
    <row r="600" customFormat="false" ht="15" hidden="false" customHeight="false" outlineLevel="0" collapsed="false">
      <c r="A600" s="3" t="s">
        <v>631</v>
      </c>
      <c r="B600" s="4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3" t="n">
        <v>1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/>
      <c r="P600" s="3" t="n">
        <v>24.3</v>
      </c>
    </row>
    <row r="601" customFormat="false" ht="15" hidden="false" customHeight="false" outlineLevel="0" collapsed="false">
      <c r="A601" s="3" t="s">
        <v>632</v>
      </c>
      <c r="B601" s="4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1</v>
      </c>
      <c r="N601" s="3" t="n">
        <v>0</v>
      </c>
      <c r="O601" s="3"/>
      <c r="P601" s="3" t="n">
        <v>61.9</v>
      </c>
    </row>
    <row r="602" customFormat="false" ht="15" hidden="false" customHeight="false" outlineLevel="0" collapsed="false">
      <c r="A602" s="3" t="s">
        <v>633</v>
      </c>
      <c r="B602" s="4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2</v>
      </c>
      <c r="N602" s="3" t="n">
        <v>0</v>
      </c>
      <c r="O602" s="3"/>
      <c r="P602" s="3" t="n">
        <v>41.7</v>
      </c>
    </row>
    <row r="603" customFormat="false" ht="15" hidden="false" customHeight="false" outlineLevel="0" collapsed="false">
      <c r="A603" s="3" t="s">
        <v>634</v>
      </c>
      <c r="B603" s="4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3" t="n">
        <v>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/>
      <c r="P603" s="3" t="n">
        <v>87.6</v>
      </c>
    </row>
    <row r="604" customFormat="false" ht="15" hidden="false" customHeight="false" outlineLevel="0" collapsed="false">
      <c r="A604" s="3" t="s">
        <v>635</v>
      </c>
      <c r="B604" s="4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3" t="n">
        <v>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/>
      <c r="P604" s="3" t="n">
        <v>30.8</v>
      </c>
    </row>
    <row r="605" customFormat="false" ht="15" hidden="false" customHeight="false" outlineLevel="0" collapsed="false">
      <c r="A605" s="3" t="s">
        <v>636</v>
      </c>
      <c r="B605" s="4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/>
      <c r="P605" s="3" t="n">
        <v>54</v>
      </c>
    </row>
    <row r="606" customFormat="false" ht="15" hidden="false" customHeight="false" outlineLevel="0" collapsed="false">
      <c r="A606" s="3" t="s">
        <v>637</v>
      </c>
      <c r="B606" s="4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3" t="n">
        <v>1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1</v>
      </c>
      <c r="N606" s="3" t="n">
        <v>0</v>
      </c>
      <c r="O606" s="3"/>
      <c r="P606" s="3" t="n">
        <v>54.5</v>
      </c>
    </row>
    <row r="607" customFormat="false" ht="15" hidden="false" customHeight="false" outlineLevel="0" collapsed="false">
      <c r="A607" s="3" t="s">
        <v>638</v>
      </c>
      <c r="B607" s="4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3" t="n">
        <v>1</v>
      </c>
      <c r="I607" s="3" t="n">
        <v>1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/>
      <c r="P607" s="3" t="n">
        <v>61.3</v>
      </c>
    </row>
    <row r="608" customFormat="false" ht="15" hidden="false" customHeight="false" outlineLevel="0" collapsed="false">
      <c r="A608" s="3" t="s">
        <v>639</v>
      </c>
      <c r="B608" s="4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3" t="n">
        <v>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/>
      <c r="P608" s="3" t="n">
        <v>62.7</v>
      </c>
    </row>
    <row r="609" customFormat="false" ht="15" hidden="false" customHeight="false" outlineLevel="0" collapsed="false">
      <c r="A609" s="3" t="s">
        <v>640</v>
      </c>
      <c r="B609" s="4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3" t="n">
        <v>1</v>
      </c>
      <c r="I609" s="3" t="n">
        <v>1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/>
      <c r="P609" s="3" t="n">
        <v>43.1</v>
      </c>
    </row>
    <row r="610" customFormat="false" ht="15" hidden="false" customHeight="false" outlineLevel="0" collapsed="false">
      <c r="A610" s="3" t="s">
        <v>641</v>
      </c>
      <c r="B610" s="4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/>
      <c r="P610" s="3" t="n">
        <v>59.9</v>
      </c>
    </row>
    <row r="611" customFormat="false" ht="15" hidden="false" customHeight="false" outlineLevel="0" collapsed="false">
      <c r="A611" s="3" t="s">
        <v>642</v>
      </c>
      <c r="B611" s="4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3" t="n">
        <v>1</v>
      </c>
      <c r="I611" s="3" t="n">
        <v>1</v>
      </c>
      <c r="J611" s="3" t="n">
        <v>1</v>
      </c>
      <c r="K611" s="3" t="n">
        <v>0</v>
      </c>
      <c r="L611" s="3" t="n">
        <v>0</v>
      </c>
      <c r="M611" s="3" t="n">
        <v>0</v>
      </c>
      <c r="N611" s="3" t="n">
        <v>0</v>
      </c>
      <c r="O611" s="3"/>
      <c r="P611" s="3" t="n">
        <v>55.7</v>
      </c>
    </row>
    <row r="612" customFormat="false" ht="15" hidden="false" customHeight="false" outlineLevel="0" collapsed="false">
      <c r="A612" s="3" t="s">
        <v>643</v>
      </c>
      <c r="B612" s="4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3" t="n">
        <v>1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/>
      <c r="P612" s="3" t="n">
        <v>37.1</v>
      </c>
    </row>
    <row r="613" customFormat="false" ht="15" hidden="false" customHeight="false" outlineLevel="0" collapsed="false">
      <c r="A613" s="3" t="s">
        <v>644</v>
      </c>
      <c r="B613" s="4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1</v>
      </c>
      <c r="N613" s="3" t="n">
        <v>0</v>
      </c>
      <c r="O613" s="3"/>
      <c r="P613" s="3" t="n">
        <v>46.7</v>
      </c>
    </row>
    <row r="614" customFormat="false" ht="15" hidden="false" customHeight="false" outlineLevel="0" collapsed="false">
      <c r="A614" s="3" t="s">
        <v>645</v>
      </c>
      <c r="B614" s="4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3" t="n">
        <v>1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/>
      <c r="P614" s="3" t="n">
        <v>54.1</v>
      </c>
    </row>
    <row r="615" customFormat="false" ht="15" hidden="false" customHeight="false" outlineLevel="0" collapsed="false">
      <c r="A615" s="3" t="s">
        <v>646</v>
      </c>
      <c r="B615" s="4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3" t="n">
        <v>1</v>
      </c>
      <c r="I615" s="3" t="n">
        <v>1</v>
      </c>
      <c r="J615" s="3" t="n">
        <v>1</v>
      </c>
      <c r="K615" s="3" t="n">
        <v>0</v>
      </c>
      <c r="L615" s="3" t="n">
        <v>0</v>
      </c>
      <c r="M615" s="3" t="n">
        <v>0</v>
      </c>
      <c r="N615" s="3" t="n">
        <v>0</v>
      </c>
      <c r="O615" s="3"/>
      <c r="P615" s="3" t="n">
        <v>56.1</v>
      </c>
    </row>
    <row r="616" customFormat="false" ht="15" hidden="false" customHeight="false" outlineLevel="0" collapsed="false">
      <c r="A616" s="3" t="s">
        <v>647</v>
      </c>
      <c r="B616" s="4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/>
      <c r="P616" s="3" t="n">
        <v>23.6</v>
      </c>
    </row>
    <row r="617" customFormat="false" ht="15" hidden="false" customHeight="false" outlineLevel="0" collapsed="false">
      <c r="A617" s="3" t="s">
        <v>648</v>
      </c>
      <c r="B617" s="4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/>
      <c r="P617" s="3" t="n">
        <v>54.7</v>
      </c>
    </row>
    <row r="618" customFormat="false" ht="15" hidden="false" customHeight="false" outlineLevel="0" collapsed="false">
      <c r="A618" s="3" t="s">
        <v>649</v>
      </c>
      <c r="B618" s="4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2</v>
      </c>
      <c r="N618" s="3" t="n">
        <v>0</v>
      </c>
      <c r="O618" s="3"/>
      <c r="P618" s="3" t="n">
        <v>50.4</v>
      </c>
    </row>
    <row r="619" customFormat="false" ht="15" hidden="false" customHeight="false" outlineLevel="0" collapsed="false">
      <c r="A619" s="3" t="s">
        <v>650</v>
      </c>
      <c r="B619" s="4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3" t="n">
        <v>1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/>
      <c r="P619" s="3" t="n">
        <v>54.5</v>
      </c>
    </row>
    <row r="620" customFormat="false" ht="15" hidden="false" customHeight="false" outlineLevel="0" collapsed="false">
      <c r="A620" s="3" t="s">
        <v>651</v>
      </c>
      <c r="B620" s="4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/>
      <c r="P620" s="3" t="n">
        <v>58</v>
      </c>
    </row>
    <row r="621" customFormat="false" ht="15" hidden="false" customHeight="false" outlineLevel="0" collapsed="false">
      <c r="A621" s="3" t="s">
        <v>652</v>
      </c>
      <c r="B621" s="4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/>
      <c r="P621" s="3" t="n">
        <v>42.9</v>
      </c>
    </row>
    <row r="622" customFormat="false" ht="15" hidden="false" customHeight="false" outlineLevel="0" collapsed="false">
      <c r="A622" s="3" t="s">
        <v>653</v>
      </c>
      <c r="B622" s="4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3" t="n">
        <v>1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/>
      <c r="P622" s="3" t="n">
        <v>51.1</v>
      </c>
    </row>
    <row r="623" customFormat="false" ht="15" hidden="false" customHeight="false" outlineLevel="0" collapsed="false">
      <c r="A623" s="3" t="s">
        <v>654</v>
      </c>
      <c r="B623" s="4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3" t="n">
        <v>1</v>
      </c>
      <c r="I623" s="3" t="n">
        <v>1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/>
      <c r="P623" s="3" t="n">
        <v>51.8</v>
      </c>
    </row>
    <row r="624" customFormat="false" ht="15" hidden="false" customHeight="false" outlineLevel="0" collapsed="false">
      <c r="A624" s="3" t="s">
        <v>655</v>
      </c>
      <c r="B624" s="4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/>
      <c r="P624" s="3" t="n">
        <v>67.7</v>
      </c>
    </row>
    <row r="625" customFormat="false" ht="15" hidden="false" customHeight="false" outlineLevel="0" collapsed="false">
      <c r="A625" s="3" t="s">
        <v>656</v>
      </c>
      <c r="B625" s="4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/>
      <c r="P625" s="3" t="n">
        <v>75.8</v>
      </c>
    </row>
    <row r="626" customFormat="false" ht="15" hidden="false" customHeight="false" outlineLevel="0" collapsed="false">
      <c r="A626" s="3" t="s">
        <v>657</v>
      </c>
      <c r="B626" s="4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3" t="n">
        <v>1</v>
      </c>
      <c r="I626" s="3" t="n">
        <v>1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/>
      <c r="P626" s="3" t="n">
        <v>72.8</v>
      </c>
    </row>
    <row r="627" customFormat="false" ht="15" hidden="false" customHeight="false" outlineLevel="0" collapsed="false">
      <c r="A627" s="3" t="s">
        <v>658</v>
      </c>
      <c r="B627" s="4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3" t="n">
        <v>1</v>
      </c>
      <c r="I627" s="3" t="n">
        <v>1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/>
      <c r="P627" s="3" t="n">
        <v>54.4</v>
      </c>
    </row>
    <row r="628" customFormat="false" ht="15" hidden="false" customHeight="false" outlineLevel="0" collapsed="false">
      <c r="A628" s="3" t="s">
        <v>659</v>
      </c>
      <c r="B628" s="4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3" t="n">
        <v>1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/>
      <c r="P628" s="3" t="n">
        <v>51.8</v>
      </c>
    </row>
    <row r="629" customFormat="false" ht="15" hidden="false" customHeight="false" outlineLevel="0" collapsed="false">
      <c r="A629" s="3" t="s">
        <v>660</v>
      </c>
      <c r="B629" s="4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/>
      <c r="P629" s="3" t="n">
        <v>40.3</v>
      </c>
    </row>
    <row r="630" customFormat="false" ht="15" hidden="false" customHeight="false" outlineLevel="0" collapsed="false">
      <c r="A630" s="3" t="s">
        <v>661</v>
      </c>
      <c r="B630" s="4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3" t="n">
        <v>1</v>
      </c>
      <c r="I630" s="3" t="n">
        <v>1</v>
      </c>
      <c r="J630" s="3" t="n">
        <v>1</v>
      </c>
      <c r="K630" s="3" t="n">
        <v>0</v>
      </c>
      <c r="L630" s="3" t="n">
        <v>0</v>
      </c>
      <c r="M630" s="3" t="n">
        <v>0</v>
      </c>
      <c r="N630" s="3" t="n">
        <v>0</v>
      </c>
      <c r="O630" s="3"/>
      <c r="P630" s="3" t="n">
        <v>61.7</v>
      </c>
    </row>
    <row r="631" customFormat="false" ht="15" hidden="false" customHeight="false" outlineLevel="0" collapsed="false">
      <c r="A631" s="3" t="s">
        <v>662</v>
      </c>
      <c r="B631" s="4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/>
      <c r="P631" s="3" t="n">
        <v>45</v>
      </c>
    </row>
    <row r="632" customFormat="false" ht="15" hidden="false" customHeight="false" outlineLevel="0" collapsed="false">
      <c r="A632" s="3" t="s">
        <v>663</v>
      </c>
      <c r="B632" s="4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3" t="n">
        <v>1</v>
      </c>
      <c r="I632" s="3" t="n">
        <v>1</v>
      </c>
      <c r="J632" s="3" t="n">
        <v>1</v>
      </c>
      <c r="K632" s="3" t="n">
        <v>0</v>
      </c>
      <c r="L632" s="3" t="n">
        <v>0</v>
      </c>
      <c r="M632" s="3" t="n">
        <v>0</v>
      </c>
      <c r="N632" s="3" t="n">
        <v>0</v>
      </c>
      <c r="O632" s="3"/>
      <c r="P632" s="3" t="n">
        <v>60</v>
      </c>
    </row>
    <row r="633" customFormat="false" ht="15" hidden="false" customHeight="false" outlineLevel="0" collapsed="false">
      <c r="A633" s="3" t="s">
        <v>664</v>
      </c>
      <c r="B633" s="4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3" t="n">
        <v>1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/>
      <c r="P633" s="3"/>
    </row>
    <row r="634" customFormat="false" ht="15" hidden="false" customHeight="false" outlineLevel="0" collapsed="false">
      <c r="A634" s="3" t="s">
        <v>665</v>
      </c>
      <c r="B634" s="4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3" t="n">
        <v>1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/>
      <c r="P634" s="3" t="n">
        <v>55.5</v>
      </c>
    </row>
    <row r="635" customFormat="false" ht="15" hidden="false" customHeight="false" outlineLevel="0" collapsed="false">
      <c r="A635" s="3" t="s">
        <v>666</v>
      </c>
      <c r="B635" s="4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/>
      <c r="P635" s="3" t="n">
        <v>51.8</v>
      </c>
    </row>
    <row r="636" customFormat="false" ht="15" hidden="false" customHeight="false" outlineLevel="0" collapsed="false">
      <c r="A636" s="3" t="s">
        <v>667</v>
      </c>
      <c r="B636" s="4" t="n">
        <v>45803</v>
      </c>
      <c r="C636" s="3" t="s">
        <v>17</v>
      </c>
      <c r="D636" s="3" t="s">
        <v>28</v>
      </c>
      <c r="E636" s="3" t="s">
        <v>24</v>
      </c>
      <c r="F636" s="3" t="s">
        <v>156</v>
      </c>
      <c r="G636" s="3" t="s">
        <v>30</v>
      </c>
      <c r="H636" s="3" t="n">
        <v>1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3</v>
      </c>
      <c r="N636" s="3" t="n">
        <v>0</v>
      </c>
      <c r="O636" s="3"/>
      <c r="P636" s="3" t="n">
        <v>56</v>
      </c>
    </row>
    <row r="637" customFormat="false" ht="15" hidden="false" customHeight="false" outlineLevel="0" collapsed="false">
      <c r="A637" s="3" t="s">
        <v>668</v>
      </c>
      <c r="B637" s="4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/>
      <c r="P637" s="3" t="n">
        <v>52.5</v>
      </c>
    </row>
    <row r="638" customFormat="false" ht="15" hidden="false" customHeight="false" outlineLevel="0" collapsed="false">
      <c r="A638" s="3" t="s">
        <v>669</v>
      </c>
      <c r="B638" s="4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3" t="n">
        <v>1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/>
      <c r="P638" s="3" t="n">
        <v>42.5</v>
      </c>
    </row>
    <row r="639" customFormat="false" ht="15" hidden="false" customHeight="false" outlineLevel="0" collapsed="false">
      <c r="A639" s="3" t="s">
        <v>670</v>
      </c>
      <c r="B639" s="4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3" t="n">
        <v>1</v>
      </c>
      <c r="I639" s="3" t="n">
        <v>1</v>
      </c>
      <c r="J639" s="3" t="n">
        <v>1</v>
      </c>
      <c r="K639" s="3" t="n">
        <v>0</v>
      </c>
      <c r="L639" s="3" t="n">
        <v>0</v>
      </c>
      <c r="M639" s="3" t="n">
        <v>0</v>
      </c>
      <c r="N639" s="3" t="n">
        <v>0</v>
      </c>
      <c r="O639" s="3"/>
      <c r="P639" s="3" t="n">
        <v>65.3</v>
      </c>
    </row>
    <row r="640" customFormat="false" ht="15" hidden="false" customHeight="false" outlineLevel="0" collapsed="false">
      <c r="A640" s="3" t="s">
        <v>671</v>
      </c>
      <c r="B640" s="4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/>
      <c r="P640" s="3" t="n">
        <v>37.6</v>
      </c>
    </row>
    <row r="641" customFormat="false" ht="15" hidden="false" customHeight="false" outlineLevel="0" collapsed="false">
      <c r="A641" s="3" t="s">
        <v>672</v>
      </c>
      <c r="B641" s="4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/>
      <c r="P641" s="3" t="n">
        <v>57.8</v>
      </c>
    </row>
    <row r="642" customFormat="false" ht="15" hidden="false" customHeight="false" outlineLevel="0" collapsed="false">
      <c r="A642" s="3" t="s">
        <v>673</v>
      </c>
      <c r="B642" s="4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3" t="n">
        <v>1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/>
      <c r="P642" s="3" t="n">
        <v>52.7</v>
      </c>
    </row>
    <row r="643" customFormat="false" ht="15" hidden="false" customHeight="false" outlineLevel="0" collapsed="false">
      <c r="A643" s="3" t="s">
        <v>674</v>
      </c>
      <c r="B643" s="4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3" t="n">
        <v>1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/>
      <c r="P643" s="3" t="n">
        <v>51.7</v>
      </c>
    </row>
    <row r="644" customFormat="false" ht="15" hidden="false" customHeight="false" outlineLevel="0" collapsed="false">
      <c r="A644" s="3" t="s">
        <v>675</v>
      </c>
      <c r="B644" s="4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/>
      <c r="P644" s="3" t="n">
        <v>57</v>
      </c>
    </row>
    <row r="645" customFormat="false" ht="15" hidden="false" customHeight="false" outlineLevel="0" collapsed="false">
      <c r="A645" s="3" t="s">
        <v>676</v>
      </c>
      <c r="B645" s="4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/>
      <c r="P645" s="3" t="n">
        <v>39.5</v>
      </c>
    </row>
    <row r="646" customFormat="false" ht="15" hidden="false" customHeight="false" outlineLevel="0" collapsed="false">
      <c r="A646" s="3" t="s">
        <v>677</v>
      </c>
      <c r="B646" s="4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3" t="n">
        <v>1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/>
      <c r="P646" s="3" t="n">
        <v>76.5</v>
      </c>
    </row>
    <row r="647" customFormat="false" ht="15" hidden="false" customHeight="false" outlineLevel="0" collapsed="false">
      <c r="A647" s="3" t="s">
        <v>678</v>
      </c>
      <c r="B647" s="4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3" t="n">
        <v>1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/>
      <c r="P647" s="3" t="n">
        <v>32.4</v>
      </c>
    </row>
    <row r="648" customFormat="false" ht="15" hidden="false" customHeight="false" outlineLevel="0" collapsed="false">
      <c r="A648" s="3" t="s">
        <v>679</v>
      </c>
      <c r="B648" s="4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/>
      <c r="P648" s="3" t="n">
        <v>58.6</v>
      </c>
    </row>
    <row r="649" customFormat="false" ht="15" hidden="false" customHeight="false" outlineLevel="0" collapsed="false">
      <c r="A649" s="3" t="s">
        <v>680</v>
      </c>
      <c r="B649" s="4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3" t="n">
        <v>1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/>
      <c r="P649" s="3" t="n">
        <v>78.6</v>
      </c>
    </row>
    <row r="650" customFormat="false" ht="15" hidden="false" customHeight="false" outlineLevel="0" collapsed="false">
      <c r="A650" s="3" t="s">
        <v>681</v>
      </c>
      <c r="B650" s="4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/>
      <c r="P650" s="3" t="n">
        <v>54.5</v>
      </c>
    </row>
    <row r="651" customFormat="false" ht="15" hidden="false" customHeight="false" outlineLevel="0" collapsed="false">
      <c r="A651" s="3" t="s">
        <v>682</v>
      </c>
      <c r="B651" s="4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3" t="n">
        <v>1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/>
      <c r="P651" s="3" t="n">
        <v>57.6</v>
      </c>
    </row>
    <row r="652" customFormat="false" ht="15" hidden="false" customHeight="false" outlineLevel="0" collapsed="false">
      <c r="A652" s="3" t="s">
        <v>683</v>
      </c>
      <c r="B652" s="4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/>
      <c r="P652" s="3" t="n">
        <v>52.8</v>
      </c>
    </row>
    <row r="653" customFormat="false" ht="15" hidden="false" customHeight="false" outlineLevel="0" collapsed="false">
      <c r="A653" s="3" t="s">
        <v>684</v>
      </c>
      <c r="B653" s="4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3" t="n">
        <v>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/>
      <c r="P653" s="3" t="n">
        <v>52.9</v>
      </c>
    </row>
    <row r="654" customFormat="false" ht="15" hidden="false" customHeight="false" outlineLevel="0" collapsed="false">
      <c r="A654" s="3" t="s">
        <v>685</v>
      </c>
      <c r="B654" s="4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1</v>
      </c>
      <c r="N654" s="3" t="n">
        <v>0</v>
      </c>
      <c r="O654" s="3"/>
      <c r="P654" s="3" t="n">
        <v>55.9</v>
      </c>
    </row>
    <row r="655" customFormat="false" ht="15" hidden="false" customHeight="false" outlineLevel="0" collapsed="false">
      <c r="A655" s="3" t="s">
        <v>686</v>
      </c>
      <c r="B655" s="4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/>
      <c r="P655" s="3" t="n">
        <v>74.2</v>
      </c>
    </row>
    <row r="656" customFormat="false" ht="15" hidden="false" customHeight="false" outlineLevel="0" collapsed="false">
      <c r="A656" s="3" t="s">
        <v>687</v>
      </c>
      <c r="B656" s="4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/>
      <c r="P656" s="3" t="n">
        <v>46.3</v>
      </c>
    </row>
    <row r="657" customFormat="false" ht="15" hidden="false" customHeight="false" outlineLevel="0" collapsed="false">
      <c r="A657" s="3" t="s">
        <v>688</v>
      </c>
      <c r="B657" s="4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/>
      <c r="P657" s="3" t="n">
        <v>62</v>
      </c>
    </row>
    <row r="658" customFormat="false" ht="15" hidden="false" customHeight="false" outlineLevel="0" collapsed="false">
      <c r="A658" s="3" t="s">
        <v>689</v>
      </c>
      <c r="B658" s="4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/>
      <c r="P658" s="3" t="n">
        <v>55.6</v>
      </c>
    </row>
    <row r="659" customFormat="false" ht="15" hidden="false" customHeight="false" outlineLevel="0" collapsed="false">
      <c r="A659" s="3" t="s">
        <v>690</v>
      </c>
      <c r="B659" s="4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/>
      <c r="P659" s="3" t="n">
        <v>62.8</v>
      </c>
    </row>
    <row r="660" customFormat="false" ht="15" hidden="false" customHeight="false" outlineLevel="0" collapsed="false">
      <c r="A660" s="3" t="s">
        <v>691</v>
      </c>
      <c r="B660" s="4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/>
      <c r="P660" s="3" t="n">
        <v>73.1</v>
      </c>
    </row>
    <row r="661" customFormat="false" ht="15" hidden="false" customHeight="false" outlineLevel="0" collapsed="false">
      <c r="A661" s="3" t="s">
        <v>692</v>
      </c>
      <c r="B661" s="4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347.52</v>
      </c>
      <c r="M661" s="3" t="n">
        <v>0</v>
      </c>
      <c r="N661" s="3" t="n">
        <v>0</v>
      </c>
      <c r="O661" s="3" t="n">
        <v>2</v>
      </c>
      <c r="P661" s="3" t="n">
        <v>57.2</v>
      </c>
    </row>
    <row r="662" customFormat="false" ht="15" hidden="false" customHeight="false" outlineLevel="0" collapsed="false">
      <c r="A662" s="3" t="s">
        <v>693</v>
      </c>
      <c r="B662" s="4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3" t="n">
        <v>1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/>
      <c r="P662" s="3" t="n">
        <v>67.9</v>
      </c>
    </row>
    <row r="663" customFormat="false" ht="15" hidden="false" customHeight="false" outlineLevel="0" collapsed="false">
      <c r="A663" s="3" t="s">
        <v>694</v>
      </c>
      <c r="B663" s="4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/>
      <c r="P663" s="3" t="n">
        <v>50.1</v>
      </c>
    </row>
    <row r="664" customFormat="false" ht="15" hidden="false" customHeight="false" outlineLevel="0" collapsed="false">
      <c r="A664" s="3" t="s">
        <v>695</v>
      </c>
      <c r="B664" s="4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/>
      <c r="P664" s="3" t="n">
        <v>67.8</v>
      </c>
    </row>
    <row r="665" customFormat="false" ht="15" hidden="false" customHeight="false" outlineLevel="0" collapsed="false">
      <c r="A665" s="3" t="s">
        <v>696</v>
      </c>
      <c r="B665" s="4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3" t="n">
        <v>1</v>
      </c>
      <c r="I665" s="3" t="n">
        <v>1</v>
      </c>
      <c r="J665" s="3" t="n">
        <v>1</v>
      </c>
      <c r="K665" s="3" t="n">
        <v>0</v>
      </c>
      <c r="L665" s="3" t="n">
        <v>0</v>
      </c>
      <c r="M665" s="3" t="n">
        <v>0</v>
      </c>
      <c r="N665" s="3" t="n">
        <v>0</v>
      </c>
      <c r="O665" s="3"/>
      <c r="P665" s="3" t="n">
        <v>60.8</v>
      </c>
    </row>
    <row r="666" customFormat="false" ht="15" hidden="false" customHeight="false" outlineLevel="0" collapsed="false">
      <c r="A666" s="3" t="s">
        <v>697</v>
      </c>
      <c r="B666" s="4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3" t="n">
        <v>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3</v>
      </c>
      <c r="N666" s="3" t="n">
        <v>0</v>
      </c>
      <c r="O666" s="3"/>
      <c r="P666" s="3" t="n">
        <v>33.7</v>
      </c>
    </row>
    <row r="667" customFormat="false" ht="15" hidden="false" customHeight="false" outlineLevel="0" collapsed="false">
      <c r="A667" s="3" t="s">
        <v>698</v>
      </c>
      <c r="B667" s="4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/>
      <c r="P667" s="3" t="n">
        <v>45.2</v>
      </c>
    </row>
    <row r="668" customFormat="false" ht="15" hidden="false" customHeight="false" outlineLevel="0" collapsed="false">
      <c r="A668" s="3" t="s">
        <v>699</v>
      </c>
      <c r="B668" s="4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/>
      <c r="P668" s="3" t="n">
        <v>48.2</v>
      </c>
    </row>
    <row r="669" customFormat="false" ht="15" hidden="false" customHeight="false" outlineLevel="0" collapsed="false">
      <c r="A669" s="3" t="s">
        <v>700</v>
      </c>
      <c r="B669" s="4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3" t="n">
        <v>1</v>
      </c>
      <c r="I669" s="3" t="n">
        <v>1</v>
      </c>
      <c r="J669" s="3" t="n">
        <v>0</v>
      </c>
      <c r="K669" s="3" t="n">
        <v>0</v>
      </c>
      <c r="L669" s="3" t="n">
        <v>0</v>
      </c>
      <c r="M669" s="3" t="n">
        <v>1</v>
      </c>
      <c r="N669" s="3" t="n">
        <v>0</v>
      </c>
      <c r="O669" s="3"/>
      <c r="P669" s="3" t="n">
        <v>44.8</v>
      </c>
    </row>
    <row r="670" customFormat="false" ht="15" hidden="false" customHeight="false" outlineLevel="0" collapsed="false">
      <c r="A670" s="3" t="s">
        <v>701</v>
      </c>
      <c r="B670" s="4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/>
      <c r="P670" s="3" t="n">
        <v>52.1</v>
      </c>
    </row>
    <row r="671" customFormat="false" ht="15" hidden="false" customHeight="false" outlineLevel="0" collapsed="false">
      <c r="A671" s="3" t="s">
        <v>702</v>
      </c>
      <c r="B671" s="4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3" t="n">
        <v>1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/>
      <c r="P671" s="3" t="n">
        <v>30.7</v>
      </c>
    </row>
    <row r="672" customFormat="false" ht="15" hidden="false" customHeight="false" outlineLevel="0" collapsed="false">
      <c r="A672" s="3" t="s">
        <v>703</v>
      </c>
      <c r="B672" s="4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3" t="n">
        <v>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/>
      <c r="P672" s="3" t="n">
        <v>58.4</v>
      </c>
    </row>
    <row r="673" customFormat="false" ht="15" hidden="false" customHeight="false" outlineLevel="0" collapsed="false">
      <c r="A673" s="3" t="s">
        <v>704</v>
      </c>
      <c r="B673" s="4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3" t="n">
        <v>1</v>
      </c>
      <c r="I673" s="3" t="n">
        <v>1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/>
      <c r="P673" s="3" t="n">
        <v>52.6</v>
      </c>
    </row>
    <row r="674" customFormat="false" ht="15" hidden="false" customHeight="false" outlineLevel="0" collapsed="false">
      <c r="A674" s="3" t="s">
        <v>705</v>
      </c>
      <c r="B674" s="4" t="n">
        <v>45667</v>
      </c>
      <c r="C674" s="3" t="s">
        <v>17</v>
      </c>
      <c r="D674" s="3" t="s">
        <v>23</v>
      </c>
      <c r="E674" s="3" t="s">
        <v>156</v>
      </c>
      <c r="F674" s="3" t="s">
        <v>29</v>
      </c>
      <c r="G674" s="3" t="s">
        <v>26</v>
      </c>
      <c r="H674" s="3" t="n">
        <v>1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1</v>
      </c>
      <c r="N674" s="3" t="n">
        <v>0</v>
      </c>
      <c r="O674" s="3"/>
      <c r="P674" s="3" t="n">
        <v>19.1</v>
      </c>
    </row>
    <row r="675" customFormat="false" ht="15" hidden="false" customHeight="false" outlineLevel="0" collapsed="false">
      <c r="A675" s="3" t="s">
        <v>706</v>
      </c>
      <c r="B675" s="4" t="n">
        <v>45737</v>
      </c>
      <c r="C675" s="3" t="s">
        <v>17</v>
      </c>
      <c r="D675" s="3" t="s">
        <v>32</v>
      </c>
      <c r="E675" s="3" t="s">
        <v>156</v>
      </c>
      <c r="F675" s="3" t="s">
        <v>29</v>
      </c>
      <c r="G675" s="3" t="s">
        <v>26</v>
      </c>
      <c r="H675" s="3" t="n">
        <v>1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/>
      <c r="P675" s="3" t="n">
        <v>36.8</v>
      </c>
    </row>
    <row r="676" customFormat="false" ht="15" hidden="false" customHeight="false" outlineLevel="0" collapsed="false">
      <c r="A676" s="3" t="s">
        <v>707</v>
      </c>
      <c r="B676" s="4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/>
      <c r="P676" s="3" t="n">
        <v>68.5</v>
      </c>
    </row>
    <row r="677" customFormat="false" ht="15" hidden="false" customHeight="false" outlineLevel="0" collapsed="false">
      <c r="A677" s="3" t="s">
        <v>708</v>
      </c>
      <c r="B677" s="4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3" t="n">
        <v>1</v>
      </c>
      <c r="I677" s="3" t="n">
        <v>1</v>
      </c>
      <c r="J677" s="3" t="n">
        <v>1</v>
      </c>
      <c r="K677" s="3" t="n">
        <v>0</v>
      </c>
      <c r="L677" s="3" t="n">
        <v>0</v>
      </c>
      <c r="M677" s="3" t="n">
        <v>0</v>
      </c>
      <c r="N677" s="3" t="n">
        <v>0</v>
      </c>
      <c r="O677" s="3"/>
      <c r="P677" s="3" t="n">
        <v>40.1</v>
      </c>
    </row>
    <row r="678" customFormat="false" ht="15" hidden="false" customHeight="false" outlineLevel="0" collapsed="false">
      <c r="A678" s="3" t="s">
        <v>709</v>
      </c>
      <c r="B678" s="4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3" t="n">
        <v>1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/>
      <c r="P678" s="3" t="n">
        <v>47.5</v>
      </c>
    </row>
    <row r="679" customFormat="false" ht="15" hidden="false" customHeight="false" outlineLevel="0" collapsed="false">
      <c r="A679" s="3" t="s">
        <v>710</v>
      </c>
      <c r="B679" s="4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3" t="n">
        <v>1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/>
      <c r="P679" s="3" t="n">
        <v>77.1</v>
      </c>
    </row>
    <row r="680" customFormat="false" ht="15" hidden="false" customHeight="false" outlineLevel="0" collapsed="false">
      <c r="A680" s="3" t="s">
        <v>711</v>
      </c>
      <c r="B680" s="4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3" t="n">
        <v>1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/>
      <c r="P680" s="3" t="n">
        <v>75.9</v>
      </c>
    </row>
    <row r="681" customFormat="false" ht="15" hidden="false" customHeight="false" outlineLevel="0" collapsed="false">
      <c r="A681" s="3" t="s">
        <v>712</v>
      </c>
      <c r="B681" s="4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1</v>
      </c>
      <c r="N681" s="3" t="n">
        <v>0</v>
      </c>
      <c r="O681" s="3"/>
      <c r="P681" s="3" t="n">
        <v>52</v>
      </c>
    </row>
    <row r="682" customFormat="false" ht="15" hidden="false" customHeight="false" outlineLevel="0" collapsed="false">
      <c r="A682" s="3" t="s">
        <v>713</v>
      </c>
      <c r="B682" s="4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3" t="n">
        <v>1</v>
      </c>
      <c r="I682" s="3" t="n">
        <v>1</v>
      </c>
      <c r="J682" s="3" t="n">
        <v>1</v>
      </c>
      <c r="K682" s="3" t="n">
        <v>0</v>
      </c>
      <c r="L682" s="3" t="n">
        <v>0</v>
      </c>
      <c r="M682" s="3" t="n">
        <v>0</v>
      </c>
      <c r="N682" s="3" t="n">
        <v>0</v>
      </c>
      <c r="O682" s="3"/>
      <c r="P682" s="3" t="n">
        <v>64.9</v>
      </c>
    </row>
    <row r="683" customFormat="false" ht="15" hidden="false" customHeight="false" outlineLevel="0" collapsed="false">
      <c r="A683" s="3" t="s">
        <v>714</v>
      </c>
      <c r="B683" s="4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3" t="n">
        <v>1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/>
      <c r="P683" s="3" t="n">
        <v>48.2</v>
      </c>
    </row>
    <row r="684" customFormat="false" ht="15" hidden="false" customHeight="false" outlineLevel="0" collapsed="false">
      <c r="A684" s="3" t="s">
        <v>715</v>
      </c>
      <c r="B684" s="4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/>
      <c r="P684" s="3" t="n">
        <v>42.1</v>
      </c>
    </row>
    <row r="685" customFormat="false" ht="15" hidden="false" customHeight="false" outlineLevel="0" collapsed="false">
      <c r="A685" s="3" t="s">
        <v>716</v>
      </c>
      <c r="B685" s="4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/>
      <c r="P685" s="3" t="n">
        <v>27.6</v>
      </c>
    </row>
    <row r="686" customFormat="false" ht="15" hidden="false" customHeight="false" outlineLevel="0" collapsed="false">
      <c r="A686" s="3" t="s">
        <v>717</v>
      </c>
      <c r="B686" s="4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3" t="n">
        <v>1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1</v>
      </c>
      <c r="N686" s="3" t="n">
        <v>0</v>
      </c>
      <c r="O686" s="3"/>
      <c r="P686" s="3" t="n">
        <v>68.5</v>
      </c>
    </row>
    <row r="687" customFormat="false" ht="15" hidden="false" customHeight="false" outlineLevel="0" collapsed="false">
      <c r="A687" s="3" t="s">
        <v>718</v>
      </c>
      <c r="B687" s="4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3" t="n">
        <v>1</v>
      </c>
      <c r="I687" s="3" t="n">
        <v>1</v>
      </c>
      <c r="J687" s="3" t="n">
        <v>1</v>
      </c>
      <c r="K687" s="3" t="n">
        <v>0</v>
      </c>
      <c r="L687" s="3" t="n">
        <v>0</v>
      </c>
      <c r="M687" s="3" t="n">
        <v>0</v>
      </c>
      <c r="N687" s="3" t="n">
        <v>0</v>
      </c>
      <c r="O687" s="3"/>
      <c r="P687" s="3" t="n">
        <v>59.2</v>
      </c>
    </row>
    <row r="688" customFormat="false" ht="15" hidden="false" customHeight="false" outlineLevel="0" collapsed="false">
      <c r="A688" s="3" t="s">
        <v>719</v>
      </c>
      <c r="B688" s="4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3" t="n">
        <v>1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/>
      <c r="P688" s="3" t="n">
        <v>63.3</v>
      </c>
    </row>
    <row r="689" customFormat="false" ht="15" hidden="false" customHeight="false" outlineLevel="0" collapsed="false">
      <c r="A689" s="3" t="s">
        <v>720</v>
      </c>
      <c r="B689" s="4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/>
      <c r="P689" s="3" t="n">
        <v>55</v>
      </c>
    </row>
    <row r="690" customFormat="false" ht="15" hidden="false" customHeight="false" outlineLevel="0" collapsed="false">
      <c r="A690" s="3" t="s">
        <v>721</v>
      </c>
      <c r="B690" s="4" t="n">
        <v>45804</v>
      </c>
      <c r="C690" s="3" t="s">
        <v>17</v>
      </c>
      <c r="D690" s="3" t="s">
        <v>18</v>
      </c>
      <c r="E690" s="3" t="s">
        <v>19</v>
      </c>
      <c r="F690" s="3" t="s">
        <v>156</v>
      </c>
      <c r="G690" s="3" t="s">
        <v>30</v>
      </c>
      <c r="H690" s="3" t="n">
        <v>1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/>
      <c r="P690" s="3" t="n">
        <v>64.8</v>
      </c>
    </row>
    <row r="691" customFormat="false" ht="15" hidden="false" customHeight="false" outlineLevel="0" collapsed="false">
      <c r="A691" s="3" t="s">
        <v>722</v>
      </c>
      <c r="B691" s="4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2</v>
      </c>
      <c r="N691" s="3" t="n">
        <v>0</v>
      </c>
      <c r="O691" s="3"/>
      <c r="P691" s="3" t="n">
        <v>41.8</v>
      </c>
    </row>
    <row r="692" customFormat="false" ht="15" hidden="false" customHeight="false" outlineLevel="0" collapsed="false">
      <c r="A692" s="3" t="s">
        <v>723</v>
      </c>
      <c r="B692" s="4" t="n">
        <v>45761</v>
      </c>
      <c r="C692" s="3" t="s">
        <v>724</v>
      </c>
      <c r="D692" s="3" t="s">
        <v>28</v>
      </c>
      <c r="E692" s="3" t="s">
        <v>19</v>
      </c>
      <c r="F692" s="3" t="s">
        <v>41</v>
      </c>
      <c r="G692" s="3" t="s">
        <v>21</v>
      </c>
      <c r="H692" s="3" t="n">
        <v>1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/>
      <c r="P692" s="3" t="n">
        <v>73.2</v>
      </c>
    </row>
    <row r="693" customFormat="false" ht="15" hidden="false" customHeight="false" outlineLevel="0" collapsed="false">
      <c r="A693" s="3" t="s">
        <v>725</v>
      </c>
      <c r="B693" s="4" t="n">
        <v>45786</v>
      </c>
      <c r="C693" s="3" t="s">
        <v>724</v>
      </c>
      <c r="D693" s="3" t="s">
        <v>28</v>
      </c>
      <c r="E693" s="3" t="s">
        <v>19</v>
      </c>
      <c r="F693" s="3" t="s">
        <v>25</v>
      </c>
      <c r="G693" s="3" t="s">
        <v>21</v>
      </c>
      <c r="H693" s="3" t="n">
        <v>1</v>
      </c>
      <c r="I693" s="3" t="n">
        <v>1</v>
      </c>
      <c r="J693" s="3" t="n">
        <v>1</v>
      </c>
      <c r="K693" s="3" t="n">
        <v>0</v>
      </c>
      <c r="L693" s="3" t="n">
        <v>0</v>
      </c>
      <c r="M693" s="3" t="n">
        <v>3</v>
      </c>
      <c r="N693" s="3" t="n">
        <v>0</v>
      </c>
      <c r="O693" s="3"/>
      <c r="P693" s="3" t="n">
        <v>55.7</v>
      </c>
    </row>
    <row r="694" customFormat="false" ht="15" hidden="false" customHeight="false" outlineLevel="0" collapsed="false">
      <c r="A694" s="3" t="s">
        <v>726</v>
      </c>
      <c r="B694" s="4" t="n">
        <v>45737</v>
      </c>
      <c r="C694" s="3" t="s">
        <v>724</v>
      </c>
      <c r="D694" s="3" t="s">
        <v>18</v>
      </c>
      <c r="E694" s="3" t="s">
        <v>24</v>
      </c>
      <c r="F694" s="3" t="s">
        <v>25</v>
      </c>
      <c r="G694" s="3" t="s">
        <v>26</v>
      </c>
      <c r="H694" s="3" t="n">
        <v>1</v>
      </c>
      <c r="I694" s="3" t="n">
        <v>1</v>
      </c>
      <c r="J694" s="3" t="n">
        <v>1</v>
      </c>
      <c r="K694" s="3" t="n">
        <v>0</v>
      </c>
      <c r="L694" s="3" t="n">
        <v>0</v>
      </c>
      <c r="M694" s="3" t="n">
        <v>0</v>
      </c>
      <c r="N694" s="3" t="n">
        <v>0</v>
      </c>
      <c r="O694" s="3"/>
      <c r="P694" s="3" t="n">
        <v>82.8</v>
      </c>
    </row>
    <row r="695" customFormat="false" ht="15" hidden="false" customHeight="false" outlineLevel="0" collapsed="false">
      <c r="A695" s="3" t="s">
        <v>727</v>
      </c>
      <c r="B695" s="4" t="n">
        <v>45743</v>
      </c>
      <c r="C695" s="3" t="s">
        <v>724</v>
      </c>
      <c r="D695" s="3" t="s">
        <v>18</v>
      </c>
      <c r="E695" s="3" t="s">
        <v>19</v>
      </c>
      <c r="F695" s="3" t="s">
        <v>41</v>
      </c>
      <c r="G695" s="3" t="s">
        <v>26</v>
      </c>
      <c r="H695" s="3" t="n">
        <v>1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/>
      <c r="P695" s="3"/>
    </row>
    <row r="696" customFormat="false" ht="15" hidden="false" customHeight="false" outlineLevel="0" collapsed="false">
      <c r="A696" s="3" t="s">
        <v>728</v>
      </c>
      <c r="B696" s="4" t="n">
        <v>45678</v>
      </c>
      <c r="C696" s="3" t="s">
        <v>724</v>
      </c>
      <c r="D696" s="3" t="s">
        <v>32</v>
      </c>
      <c r="E696" s="3" t="s">
        <v>24</v>
      </c>
      <c r="F696" s="3" t="s">
        <v>29</v>
      </c>
      <c r="G696" s="3" t="s">
        <v>26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/>
      <c r="P696" s="3" t="n">
        <v>34.4</v>
      </c>
    </row>
    <row r="697" customFormat="false" ht="15" hidden="false" customHeight="false" outlineLevel="0" collapsed="false">
      <c r="A697" s="3" t="s">
        <v>729</v>
      </c>
      <c r="B697" s="4" t="n">
        <v>45735</v>
      </c>
      <c r="C697" s="3" t="s">
        <v>724</v>
      </c>
      <c r="D697" s="3" t="s">
        <v>28</v>
      </c>
      <c r="E697" s="3" t="s">
        <v>19</v>
      </c>
      <c r="F697" s="3" t="s">
        <v>20</v>
      </c>
      <c r="G697" s="3" t="s">
        <v>26</v>
      </c>
      <c r="H697" s="3" t="n">
        <v>1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/>
      <c r="P697" s="3" t="n">
        <v>45.2</v>
      </c>
    </row>
    <row r="698" customFormat="false" ht="15" hidden="false" customHeight="false" outlineLevel="0" collapsed="false">
      <c r="A698" s="3" t="s">
        <v>730</v>
      </c>
      <c r="B698" s="4" t="n">
        <v>45804</v>
      </c>
      <c r="C698" s="3" t="s">
        <v>724</v>
      </c>
      <c r="D698" s="3" t="s">
        <v>18</v>
      </c>
      <c r="E698" s="3" t="s">
        <v>24</v>
      </c>
      <c r="F698" s="3" t="s">
        <v>25</v>
      </c>
      <c r="G698" s="3" t="s">
        <v>21</v>
      </c>
      <c r="H698" s="3" t="n">
        <v>1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/>
      <c r="P698" s="3" t="n">
        <v>71.6</v>
      </c>
    </row>
    <row r="699" customFormat="false" ht="15" hidden="false" customHeight="false" outlineLevel="0" collapsed="false">
      <c r="A699" s="3" t="s">
        <v>731</v>
      </c>
      <c r="B699" s="4" t="n">
        <v>45658</v>
      </c>
      <c r="C699" s="3" t="s">
        <v>724</v>
      </c>
      <c r="D699" s="3" t="s">
        <v>18</v>
      </c>
      <c r="E699" s="3" t="s">
        <v>24</v>
      </c>
      <c r="F699" s="3" t="s">
        <v>41</v>
      </c>
      <c r="G699" s="3" t="s">
        <v>26</v>
      </c>
      <c r="H699" s="3" t="n">
        <v>1</v>
      </c>
      <c r="I699" s="3" t="n">
        <v>1</v>
      </c>
      <c r="J699" s="3" t="n">
        <v>1</v>
      </c>
      <c r="K699" s="3" t="n">
        <v>0</v>
      </c>
      <c r="L699" s="3" t="n">
        <v>0</v>
      </c>
      <c r="M699" s="3" t="n">
        <v>0</v>
      </c>
      <c r="N699" s="3" t="n">
        <v>0</v>
      </c>
      <c r="O699" s="3"/>
      <c r="P699" s="3" t="n">
        <v>69.1</v>
      </c>
    </row>
    <row r="700" customFormat="false" ht="15" hidden="false" customHeight="false" outlineLevel="0" collapsed="false">
      <c r="A700" s="3" t="s">
        <v>732</v>
      </c>
      <c r="B700" s="4" t="n">
        <v>45745</v>
      </c>
      <c r="C700" s="3" t="s">
        <v>724</v>
      </c>
      <c r="D700" s="3" t="s">
        <v>23</v>
      </c>
      <c r="E700" s="3" t="s">
        <v>19</v>
      </c>
      <c r="F700" s="3" t="s">
        <v>29</v>
      </c>
      <c r="G700" s="3" t="s">
        <v>30</v>
      </c>
      <c r="H700" s="3" t="n">
        <v>1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1</v>
      </c>
      <c r="N700" s="3" t="n">
        <v>0</v>
      </c>
      <c r="O700" s="3"/>
      <c r="P700" s="3" t="n">
        <v>37.7</v>
      </c>
    </row>
    <row r="701" customFormat="false" ht="15" hidden="false" customHeight="false" outlineLevel="0" collapsed="false">
      <c r="A701" s="3" t="s">
        <v>733</v>
      </c>
      <c r="B701" s="4" t="n">
        <v>45733</v>
      </c>
      <c r="C701" s="3" t="s">
        <v>724</v>
      </c>
      <c r="D701" s="3" t="s">
        <v>23</v>
      </c>
      <c r="E701" s="3" t="s">
        <v>19</v>
      </c>
      <c r="F701" s="3" t="s">
        <v>25</v>
      </c>
      <c r="G701" s="3" t="s">
        <v>21</v>
      </c>
      <c r="H701" s="3" t="n">
        <v>1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1</v>
      </c>
      <c r="N701" s="3" t="n">
        <v>0</v>
      </c>
      <c r="O701" s="3"/>
      <c r="P701" s="3" t="n">
        <v>60.8</v>
      </c>
    </row>
    <row r="702" customFormat="false" ht="15" hidden="false" customHeight="false" outlineLevel="0" collapsed="false">
      <c r="A702" s="3" t="s">
        <v>734</v>
      </c>
      <c r="B702" s="4" t="n">
        <v>45782</v>
      </c>
      <c r="C702" s="3" t="s">
        <v>724</v>
      </c>
      <c r="D702" s="3" t="s">
        <v>18</v>
      </c>
      <c r="E702" s="3" t="s">
        <v>24</v>
      </c>
      <c r="F702" s="3" t="s">
        <v>25</v>
      </c>
      <c r="G702" s="3" t="s">
        <v>26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444.13</v>
      </c>
      <c r="M702" s="3" t="n">
        <v>0</v>
      </c>
      <c r="N702" s="3" t="n">
        <v>0</v>
      </c>
      <c r="O702" s="3" t="n">
        <v>10</v>
      </c>
      <c r="P702" s="3" t="n">
        <v>80.7</v>
      </c>
    </row>
    <row r="703" customFormat="false" ht="15" hidden="false" customHeight="false" outlineLevel="0" collapsed="false">
      <c r="A703" s="3" t="s">
        <v>735</v>
      </c>
      <c r="B703" s="4" t="n">
        <v>45781</v>
      </c>
      <c r="C703" s="3" t="s">
        <v>724</v>
      </c>
      <c r="D703" s="3" t="s">
        <v>32</v>
      </c>
      <c r="E703" s="3" t="s">
        <v>24</v>
      </c>
      <c r="F703" s="3" t="s">
        <v>41</v>
      </c>
      <c r="G703" s="3" t="s">
        <v>26</v>
      </c>
      <c r="H703" s="3" t="n">
        <v>1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/>
      <c r="P703" s="3" t="n">
        <v>69.2</v>
      </c>
    </row>
    <row r="704" customFormat="false" ht="15" hidden="false" customHeight="false" outlineLevel="0" collapsed="false">
      <c r="A704" s="3" t="s">
        <v>736</v>
      </c>
      <c r="B704" s="4" t="n">
        <v>45741</v>
      </c>
      <c r="C704" s="3" t="s">
        <v>724</v>
      </c>
      <c r="D704" s="3" t="s">
        <v>18</v>
      </c>
      <c r="E704" s="3" t="s">
        <v>24</v>
      </c>
      <c r="F704" s="3" t="s">
        <v>41</v>
      </c>
      <c r="G704" s="3" t="s">
        <v>30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3</v>
      </c>
      <c r="N704" s="3" t="n">
        <v>0</v>
      </c>
      <c r="O704" s="3"/>
      <c r="P704" s="3" t="n">
        <v>55</v>
      </c>
    </row>
    <row r="705" customFormat="false" ht="15" hidden="false" customHeight="false" outlineLevel="0" collapsed="false">
      <c r="A705" s="3" t="s">
        <v>737</v>
      </c>
      <c r="B705" s="4" t="n">
        <v>45764</v>
      </c>
      <c r="C705" s="3" t="s">
        <v>724</v>
      </c>
      <c r="D705" s="3" t="s">
        <v>23</v>
      </c>
      <c r="E705" s="3" t="s">
        <v>24</v>
      </c>
      <c r="F705" s="3" t="s">
        <v>20</v>
      </c>
      <c r="G705" s="3" t="s">
        <v>26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1</v>
      </c>
      <c r="N705" s="3" t="n">
        <v>0</v>
      </c>
      <c r="O705" s="3"/>
      <c r="P705" s="3" t="n">
        <v>73.6</v>
      </c>
    </row>
    <row r="706" customFormat="false" ht="15" hidden="false" customHeight="false" outlineLevel="0" collapsed="false">
      <c r="A706" s="3" t="s">
        <v>738</v>
      </c>
      <c r="B706" s="4" t="n">
        <v>45800</v>
      </c>
      <c r="C706" s="3" t="s">
        <v>724</v>
      </c>
      <c r="D706" s="3" t="s">
        <v>32</v>
      </c>
      <c r="E706" s="3" t="s">
        <v>24</v>
      </c>
      <c r="F706" s="3" t="s">
        <v>39</v>
      </c>
      <c r="G706" s="3" t="s">
        <v>21</v>
      </c>
      <c r="H706" s="3" t="n">
        <v>1</v>
      </c>
      <c r="I706" s="3" t="n">
        <v>1</v>
      </c>
      <c r="J706" s="3" t="n">
        <v>1</v>
      </c>
      <c r="K706" s="3" t="n">
        <v>0</v>
      </c>
      <c r="L706" s="3" t="n">
        <v>0</v>
      </c>
      <c r="M706" s="3" t="n">
        <v>1</v>
      </c>
      <c r="N706" s="3" t="n">
        <v>0</v>
      </c>
      <c r="O706" s="3"/>
      <c r="P706" s="3" t="n">
        <v>47.3</v>
      </c>
    </row>
    <row r="707" customFormat="false" ht="15" hidden="false" customHeight="false" outlineLevel="0" collapsed="false">
      <c r="A707" s="3" t="s">
        <v>739</v>
      </c>
      <c r="B707" s="4" t="n">
        <v>45670</v>
      </c>
      <c r="C707" s="3" t="s">
        <v>724</v>
      </c>
      <c r="D707" s="3" t="s">
        <v>18</v>
      </c>
      <c r="E707" s="3" t="s">
        <v>24</v>
      </c>
      <c r="F707" s="3" t="s">
        <v>25</v>
      </c>
      <c r="G707" s="3" t="s">
        <v>21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/>
      <c r="P707" s="3" t="n">
        <v>43.6</v>
      </c>
    </row>
    <row r="708" customFormat="false" ht="15" hidden="false" customHeight="false" outlineLevel="0" collapsed="false">
      <c r="A708" s="3" t="s">
        <v>740</v>
      </c>
      <c r="B708" s="4" t="n">
        <v>45686</v>
      </c>
      <c r="C708" s="3" t="s">
        <v>724</v>
      </c>
      <c r="D708" s="3" t="s">
        <v>18</v>
      </c>
      <c r="E708" s="3" t="s">
        <v>19</v>
      </c>
      <c r="F708" s="3" t="s">
        <v>25</v>
      </c>
      <c r="G708" s="3" t="s">
        <v>21</v>
      </c>
      <c r="H708" s="3" t="n">
        <v>1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/>
      <c r="P708" s="3"/>
    </row>
    <row r="709" customFormat="false" ht="15" hidden="false" customHeight="false" outlineLevel="0" collapsed="false">
      <c r="A709" s="3" t="s">
        <v>741</v>
      </c>
      <c r="B709" s="4" t="n">
        <v>45788</v>
      </c>
      <c r="C709" s="3" t="s">
        <v>724</v>
      </c>
      <c r="D709" s="3" t="s">
        <v>32</v>
      </c>
      <c r="E709" s="3" t="s">
        <v>24</v>
      </c>
      <c r="F709" s="3" t="s">
        <v>20</v>
      </c>
      <c r="G709" s="3" t="s">
        <v>26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/>
      <c r="P709" s="3" t="n">
        <v>55.2</v>
      </c>
    </row>
    <row r="710" customFormat="false" ht="15" hidden="false" customHeight="false" outlineLevel="0" collapsed="false">
      <c r="A710" s="3" t="s">
        <v>742</v>
      </c>
      <c r="B710" s="4" t="n">
        <v>45769</v>
      </c>
      <c r="C710" s="3" t="s">
        <v>724</v>
      </c>
      <c r="D710" s="3" t="s">
        <v>32</v>
      </c>
      <c r="E710" s="3" t="s">
        <v>24</v>
      </c>
      <c r="F710" s="3" t="s">
        <v>25</v>
      </c>
      <c r="G710" s="3" t="s">
        <v>21</v>
      </c>
      <c r="H710" s="3" t="n">
        <v>1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/>
      <c r="P710" s="3" t="n">
        <v>49.4</v>
      </c>
    </row>
    <row r="711" customFormat="false" ht="15" hidden="false" customHeight="false" outlineLevel="0" collapsed="false">
      <c r="A711" s="3" t="s">
        <v>743</v>
      </c>
      <c r="B711" s="4" t="n">
        <v>45719</v>
      </c>
      <c r="C711" s="3" t="s">
        <v>724</v>
      </c>
      <c r="D711" s="3" t="s">
        <v>32</v>
      </c>
      <c r="E711" s="3" t="s">
        <v>24</v>
      </c>
      <c r="F711" s="3" t="s">
        <v>41</v>
      </c>
      <c r="G711" s="3" t="s">
        <v>26</v>
      </c>
      <c r="H711" s="3" t="n">
        <v>1</v>
      </c>
      <c r="I711" s="3" t="n">
        <v>1</v>
      </c>
      <c r="J711" s="3" t="n">
        <v>1</v>
      </c>
      <c r="K711" s="3" t="n">
        <v>0</v>
      </c>
      <c r="L711" s="3" t="n">
        <v>0</v>
      </c>
      <c r="M711" s="3" t="n">
        <v>1</v>
      </c>
      <c r="N711" s="3" t="n">
        <v>0</v>
      </c>
      <c r="O711" s="3"/>
      <c r="P711" s="3" t="n">
        <v>60.1</v>
      </c>
    </row>
    <row r="712" customFormat="false" ht="15" hidden="false" customHeight="false" outlineLevel="0" collapsed="false">
      <c r="A712" s="3" t="s">
        <v>744</v>
      </c>
      <c r="B712" s="4" t="n">
        <v>45734</v>
      </c>
      <c r="C712" s="3" t="s">
        <v>724</v>
      </c>
      <c r="D712" s="3" t="s">
        <v>18</v>
      </c>
      <c r="E712" s="3" t="s">
        <v>24</v>
      </c>
      <c r="F712" s="3" t="s">
        <v>39</v>
      </c>
      <c r="G712" s="3" t="s">
        <v>26</v>
      </c>
      <c r="H712" s="3" t="n">
        <v>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/>
      <c r="P712" s="3" t="n">
        <v>55.9</v>
      </c>
    </row>
    <row r="713" customFormat="false" ht="15" hidden="false" customHeight="false" outlineLevel="0" collapsed="false">
      <c r="A713" s="3" t="s">
        <v>745</v>
      </c>
      <c r="B713" s="4" t="n">
        <v>45752</v>
      </c>
      <c r="C713" s="3" t="s">
        <v>724</v>
      </c>
      <c r="D713" s="3" t="s">
        <v>18</v>
      </c>
      <c r="E713" s="3" t="s">
        <v>24</v>
      </c>
      <c r="F713" s="3" t="s">
        <v>25</v>
      </c>
      <c r="G713" s="3" t="s">
        <v>21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/>
      <c r="P713" s="3" t="n">
        <v>51.5</v>
      </c>
    </row>
    <row r="714" customFormat="false" ht="15" hidden="false" customHeight="false" outlineLevel="0" collapsed="false">
      <c r="A714" s="3" t="s">
        <v>746</v>
      </c>
      <c r="B714" s="4" t="n">
        <v>45763</v>
      </c>
      <c r="C714" s="3" t="s">
        <v>724</v>
      </c>
      <c r="D714" s="3" t="s">
        <v>28</v>
      </c>
      <c r="E714" s="3" t="s">
        <v>24</v>
      </c>
      <c r="F714" s="3" t="s">
        <v>25</v>
      </c>
      <c r="G714" s="3" t="s">
        <v>26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516.67</v>
      </c>
      <c r="M714" s="3" t="n">
        <v>0</v>
      </c>
      <c r="N714" s="3" t="n">
        <v>0</v>
      </c>
      <c r="O714" s="3" t="n">
        <v>11</v>
      </c>
      <c r="P714" s="3" t="n">
        <v>57.9</v>
      </c>
    </row>
    <row r="715" customFormat="false" ht="15" hidden="false" customHeight="false" outlineLevel="0" collapsed="false">
      <c r="A715" s="3" t="s">
        <v>747</v>
      </c>
      <c r="B715" s="4" t="n">
        <v>45767</v>
      </c>
      <c r="C715" s="3" t="s">
        <v>724</v>
      </c>
      <c r="D715" s="3" t="s">
        <v>32</v>
      </c>
      <c r="E715" s="3" t="s">
        <v>24</v>
      </c>
      <c r="F715" s="3" t="s">
        <v>39</v>
      </c>
      <c r="G715" s="3" t="s">
        <v>26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277.18</v>
      </c>
      <c r="M715" s="3" t="n">
        <v>2</v>
      </c>
      <c r="N715" s="3" t="n">
        <v>0</v>
      </c>
      <c r="O715" s="3" t="n">
        <v>8</v>
      </c>
      <c r="P715" s="3" t="n">
        <v>59.2</v>
      </c>
    </row>
    <row r="716" customFormat="false" ht="15" hidden="false" customHeight="false" outlineLevel="0" collapsed="false">
      <c r="A716" s="3" t="s">
        <v>748</v>
      </c>
      <c r="B716" s="4" t="n">
        <v>45703</v>
      </c>
      <c r="C716" s="3" t="s">
        <v>724</v>
      </c>
      <c r="D716" s="3" t="s">
        <v>32</v>
      </c>
      <c r="E716" s="3" t="s">
        <v>24</v>
      </c>
      <c r="F716" s="3" t="s">
        <v>25</v>
      </c>
      <c r="G716" s="3" t="s">
        <v>26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/>
      <c r="P716" s="3" t="n">
        <v>64.2</v>
      </c>
    </row>
    <row r="717" customFormat="false" ht="15" hidden="false" customHeight="false" outlineLevel="0" collapsed="false">
      <c r="A717" s="3" t="s">
        <v>749</v>
      </c>
      <c r="B717" s="4" t="n">
        <v>45678</v>
      </c>
      <c r="C717" s="3" t="s">
        <v>724</v>
      </c>
      <c r="D717" s="3" t="s">
        <v>32</v>
      </c>
      <c r="E717" s="3" t="s">
        <v>24</v>
      </c>
      <c r="F717" s="3" t="s">
        <v>25</v>
      </c>
      <c r="G717" s="3" t="s">
        <v>26</v>
      </c>
      <c r="H717" s="3" t="n">
        <v>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/>
      <c r="P717" s="3" t="n">
        <v>68.8</v>
      </c>
    </row>
    <row r="718" customFormat="false" ht="15" hidden="false" customHeight="false" outlineLevel="0" collapsed="false">
      <c r="A718" s="3" t="s">
        <v>750</v>
      </c>
      <c r="B718" s="4" t="n">
        <v>45800</v>
      </c>
      <c r="C718" s="3" t="s">
        <v>724</v>
      </c>
      <c r="D718" s="3" t="s">
        <v>18</v>
      </c>
      <c r="E718" s="3" t="s">
        <v>24</v>
      </c>
      <c r="F718" s="3" t="s">
        <v>29</v>
      </c>
      <c r="G718" s="3" t="s">
        <v>30</v>
      </c>
      <c r="H718" s="3" t="n">
        <v>1</v>
      </c>
      <c r="I718" s="3" t="n">
        <v>1</v>
      </c>
      <c r="J718" s="3" t="n">
        <v>1</v>
      </c>
      <c r="K718" s="3" t="n">
        <v>0</v>
      </c>
      <c r="L718" s="3" t="n">
        <v>0</v>
      </c>
      <c r="M718" s="3" t="n">
        <v>0</v>
      </c>
      <c r="N718" s="3" t="n">
        <v>0</v>
      </c>
      <c r="O718" s="3"/>
      <c r="P718" s="3" t="n">
        <v>77.9</v>
      </c>
    </row>
    <row r="719" customFormat="false" ht="15" hidden="false" customHeight="false" outlineLevel="0" collapsed="false">
      <c r="A719" s="3" t="s">
        <v>751</v>
      </c>
      <c r="B719" s="4" t="n">
        <v>45679</v>
      </c>
      <c r="C719" s="3" t="s">
        <v>724</v>
      </c>
      <c r="D719" s="3" t="s">
        <v>23</v>
      </c>
      <c r="E719" s="3" t="s">
        <v>24</v>
      </c>
      <c r="F719" s="3" t="s">
        <v>29</v>
      </c>
      <c r="G719" s="3" t="s">
        <v>21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/>
      <c r="P719" s="3" t="n">
        <v>92.1</v>
      </c>
    </row>
    <row r="720" customFormat="false" ht="15" hidden="false" customHeight="false" outlineLevel="0" collapsed="false">
      <c r="A720" s="3" t="s">
        <v>752</v>
      </c>
      <c r="B720" s="4" t="n">
        <v>45771</v>
      </c>
      <c r="C720" s="3" t="s">
        <v>724</v>
      </c>
      <c r="D720" s="3" t="s">
        <v>23</v>
      </c>
      <c r="E720" s="3" t="s">
        <v>24</v>
      </c>
      <c r="F720" s="3" t="s">
        <v>29</v>
      </c>
      <c r="G720" s="3" t="s">
        <v>30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/>
      <c r="P720" s="3" t="n">
        <v>63.6</v>
      </c>
    </row>
    <row r="721" customFormat="false" ht="15" hidden="false" customHeight="false" outlineLevel="0" collapsed="false">
      <c r="A721" s="3" t="s">
        <v>753</v>
      </c>
      <c r="B721" s="4" t="n">
        <v>45674</v>
      </c>
      <c r="C721" s="3" t="s">
        <v>724</v>
      </c>
      <c r="D721" s="3" t="s">
        <v>23</v>
      </c>
      <c r="E721" s="3" t="s">
        <v>19</v>
      </c>
      <c r="F721" s="3" t="s">
        <v>20</v>
      </c>
      <c r="G721" s="3" t="s">
        <v>26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2</v>
      </c>
      <c r="N721" s="3" t="n">
        <v>0</v>
      </c>
      <c r="O721" s="3"/>
      <c r="P721" s="3" t="n">
        <v>61.6</v>
      </c>
    </row>
    <row r="722" customFormat="false" ht="15" hidden="false" customHeight="false" outlineLevel="0" collapsed="false">
      <c r="A722" s="3" t="s">
        <v>754</v>
      </c>
      <c r="B722" s="4" t="n">
        <v>45679</v>
      </c>
      <c r="C722" s="3" t="s">
        <v>724</v>
      </c>
      <c r="D722" s="3" t="s">
        <v>28</v>
      </c>
      <c r="E722" s="3" t="s">
        <v>24</v>
      </c>
      <c r="F722" s="3" t="s">
        <v>39</v>
      </c>
      <c r="G722" s="3" t="s">
        <v>21</v>
      </c>
      <c r="H722" s="3" t="n">
        <v>1</v>
      </c>
      <c r="I722" s="3" t="n">
        <v>1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/>
      <c r="P722" s="3" t="n">
        <v>82.3</v>
      </c>
    </row>
    <row r="723" customFormat="false" ht="15" hidden="false" customHeight="false" outlineLevel="0" collapsed="false">
      <c r="A723" s="3" t="s">
        <v>755</v>
      </c>
      <c r="B723" s="4" t="n">
        <v>45781</v>
      </c>
      <c r="C723" s="3" t="s">
        <v>724</v>
      </c>
      <c r="D723" s="3" t="s">
        <v>28</v>
      </c>
      <c r="E723" s="3" t="s">
        <v>19</v>
      </c>
      <c r="F723" s="3" t="s">
        <v>29</v>
      </c>
      <c r="G723" s="3" t="s">
        <v>26</v>
      </c>
      <c r="H723" s="3" t="n">
        <v>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/>
      <c r="P723" s="3" t="n">
        <v>79.3</v>
      </c>
    </row>
    <row r="724" customFormat="false" ht="15" hidden="false" customHeight="false" outlineLevel="0" collapsed="false">
      <c r="A724" s="3" t="s">
        <v>756</v>
      </c>
      <c r="B724" s="4" t="n">
        <v>45729</v>
      </c>
      <c r="C724" s="3" t="s">
        <v>724</v>
      </c>
      <c r="D724" s="3" t="s">
        <v>32</v>
      </c>
      <c r="E724" s="3" t="s">
        <v>24</v>
      </c>
      <c r="F724" s="3" t="s">
        <v>156</v>
      </c>
      <c r="G724" s="3" t="s">
        <v>26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/>
      <c r="P724" s="3" t="n">
        <v>57.7</v>
      </c>
    </row>
    <row r="725" customFormat="false" ht="15" hidden="false" customHeight="false" outlineLevel="0" collapsed="false">
      <c r="A725" s="3" t="s">
        <v>757</v>
      </c>
      <c r="B725" s="4" t="n">
        <v>45659</v>
      </c>
      <c r="C725" s="3" t="s">
        <v>724</v>
      </c>
      <c r="D725" s="3" t="s">
        <v>18</v>
      </c>
      <c r="E725" s="3" t="s">
        <v>24</v>
      </c>
      <c r="F725" s="3" t="s">
        <v>25</v>
      </c>
      <c r="G725" s="3" t="s">
        <v>21</v>
      </c>
      <c r="H725" s="3" t="n">
        <v>1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/>
      <c r="P725" s="3" t="n">
        <v>63.1</v>
      </c>
    </row>
    <row r="726" customFormat="false" ht="15" hidden="false" customHeight="false" outlineLevel="0" collapsed="false">
      <c r="A726" s="3" t="s">
        <v>758</v>
      </c>
      <c r="B726" s="4" t="n">
        <v>45670</v>
      </c>
      <c r="C726" s="3" t="s">
        <v>724</v>
      </c>
      <c r="D726" s="3" t="s">
        <v>28</v>
      </c>
      <c r="E726" s="3" t="s">
        <v>24</v>
      </c>
      <c r="F726" s="3" t="s">
        <v>29</v>
      </c>
      <c r="G726" s="3" t="s">
        <v>21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/>
      <c r="P726" s="3" t="n">
        <v>72.3</v>
      </c>
    </row>
    <row r="727" customFormat="false" ht="15" hidden="false" customHeight="false" outlineLevel="0" collapsed="false">
      <c r="A727" s="3" t="s">
        <v>759</v>
      </c>
      <c r="B727" s="4" t="n">
        <v>45697</v>
      </c>
      <c r="C727" s="3" t="s">
        <v>724</v>
      </c>
      <c r="D727" s="3" t="s">
        <v>28</v>
      </c>
      <c r="E727" s="3" t="s">
        <v>24</v>
      </c>
      <c r="F727" s="3" t="s">
        <v>41</v>
      </c>
      <c r="G727" s="3" t="s">
        <v>26</v>
      </c>
      <c r="H727" s="3" t="n">
        <v>1</v>
      </c>
      <c r="I727" s="3" t="n">
        <v>1</v>
      </c>
      <c r="J727" s="3" t="n">
        <v>1</v>
      </c>
      <c r="K727" s="3" t="n">
        <v>0</v>
      </c>
      <c r="L727" s="3" t="n">
        <v>0</v>
      </c>
      <c r="M727" s="3" t="n">
        <v>0</v>
      </c>
      <c r="N727" s="3" t="n">
        <v>0</v>
      </c>
      <c r="O727" s="3"/>
      <c r="P727" s="3" t="n">
        <v>78</v>
      </c>
    </row>
    <row r="728" customFormat="false" ht="15" hidden="false" customHeight="false" outlineLevel="0" collapsed="false">
      <c r="A728" s="3" t="s">
        <v>760</v>
      </c>
      <c r="B728" s="4" t="n">
        <v>45756</v>
      </c>
      <c r="C728" s="3" t="s">
        <v>724</v>
      </c>
      <c r="D728" s="3" t="s">
        <v>28</v>
      </c>
      <c r="E728" s="3" t="s">
        <v>19</v>
      </c>
      <c r="F728" s="3" t="s">
        <v>41</v>
      </c>
      <c r="G728" s="3" t="s">
        <v>26</v>
      </c>
      <c r="H728" s="3" t="n">
        <v>1</v>
      </c>
      <c r="I728" s="3" t="n">
        <v>1</v>
      </c>
      <c r="J728" s="3" t="n">
        <v>0</v>
      </c>
      <c r="K728" s="3" t="n">
        <v>0</v>
      </c>
      <c r="L728" s="3" t="n">
        <v>0</v>
      </c>
      <c r="M728" s="3" t="n">
        <v>2</v>
      </c>
      <c r="N728" s="3" t="n">
        <v>0</v>
      </c>
      <c r="O728" s="3"/>
      <c r="P728" s="3" t="n">
        <v>59.1</v>
      </c>
    </row>
    <row r="729" customFormat="false" ht="15" hidden="false" customHeight="false" outlineLevel="0" collapsed="false">
      <c r="A729" s="3" t="s">
        <v>761</v>
      </c>
      <c r="B729" s="4" t="n">
        <v>45659</v>
      </c>
      <c r="C729" s="3" t="s">
        <v>724</v>
      </c>
      <c r="D729" s="3" t="s">
        <v>32</v>
      </c>
      <c r="E729" s="3" t="s">
        <v>24</v>
      </c>
      <c r="F729" s="3" t="s">
        <v>29</v>
      </c>
      <c r="G729" s="3" t="s">
        <v>26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604.09</v>
      </c>
      <c r="M729" s="3" t="n">
        <v>0</v>
      </c>
      <c r="N729" s="3" t="n">
        <v>0</v>
      </c>
      <c r="O729" s="3" t="n">
        <v>7</v>
      </c>
      <c r="P729" s="3" t="n">
        <v>47.1</v>
      </c>
    </row>
    <row r="730" customFormat="false" ht="15" hidden="false" customHeight="false" outlineLevel="0" collapsed="false">
      <c r="A730" s="3" t="s">
        <v>762</v>
      </c>
      <c r="B730" s="4" t="n">
        <v>45692</v>
      </c>
      <c r="C730" s="3" t="s">
        <v>724</v>
      </c>
      <c r="D730" s="3" t="s">
        <v>32</v>
      </c>
      <c r="E730" s="3" t="s">
        <v>24</v>
      </c>
      <c r="F730" s="3" t="s">
        <v>156</v>
      </c>
      <c r="G730" s="3" t="s">
        <v>30</v>
      </c>
      <c r="H730" s="3" t="n">
        <v>1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/>
      <c r="P730" s="3" t="n">
        <v>64.9</v>
      </c>
    </row>
    <row r="731" customFormat="false" ht="15" hidden="false" customHeight="false" outlineLevel="0" collapsed="false">
      <c r="A731" s="3" t="s">
        <v>763</v>
      </c>
      <c r="B731" s="4" t="n">
        <v>45707</v>
      </c>
      <c r="C731" s="3" t="s">
        <v>724</v>
      </c>
      <c r="D731" s="3" t="s">
        <v>32</v>
      </c>
      <c r="E731" s="3" t="s">
        <v>34</v>
      </c>
      <c r="F731" s="3" t="s">
        <v>29</v>
      </c>
      <c r="G731" s="3" t="s">
        <v>26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/>
      <c r="P731" s="3" t="n">
        <v>67.3</v>
      </c>
    </row>
    <row r="732" customFormat="false" ht="15" hidden="false" customHeight="false" outlineLevel="0" collapsed="false">
      <c r="A732" s="3" t="s">
        <v>764</v>
      </c>
      <c r="B732" s="4" t="n">
        <v>45748</v>
      </c>
      <c r="C732" s="3" t="s">
        <v>724</v>
      </c>
      <c r="D732" s="3" t="s">
        <v>28</v>
      </c>
      <c r="E732" s="3" t="s">
        <v>24</v>
      </c>
      <c r="F732" s="3" t="s">
        <v>29</v>
      </c>
      <c r="G732" s="3" t="s">
        <v>21</v>
      </c>
      <c r="H732" s="3" t="n">
        <v>1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2</v>
      </c>
      <c r="N732" s="3" t="n">
        <v>0</v>
      </c>
      <c r="O732" s="3"/>
      <c r="P732" s="3" t="n">
        <v>52.9</v>
      </c>
    </row>
    <row r="733" customFormat="false" ht="15" hidden="false" customHeight="false" outlineLevel="0" collapsed="false">
      <c r="A733" s="3" t="s">
        <v>765</v>
      </c>
      <c r="B733" s="4" t="n">
        <v>45686</v>
      </c>
      <c r="C733" s="3" t="s">
        <v>724</v>
      </c>
      <c r="D733" s="3" t="s">
        <v>18</v>
      </c>
      <c r="E733" s="3" t="s">
        <v>24</v>
      </c>
      <c r="F733" s="3" t="s">
        <v>39</v>
      </c>
      <c r="G733" s="3" t="s">
        <v>26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442.37</v>
      </c>
      <c r="M733" s="3" t="n">
        <v>1</v>
      </c>
      <c r="N733" s="3" t="n">
        <v>0</v>
      </c>
      <c r="O733" s="3" t="n">
        <v>4</v>
      </c>
      <c r="P733" s="3" t="n">
        <v>69.9</v>
      </c>
    </row>
    <row r="734" customFormat="false" ht="15" hidden="false" customHeight="false" outlineLevel="0" collapsed="false">
      <c r="A734" s="3" t="s">
        <v>766</v>
      </c>
      <c r="B734" s="4" t="n">
        <v>45795</v>
      </c>
      <c r="C734" s="3" t="s">
        <v>724</v>
      </c>
      <c r="D734" s="3" t="s">
        <v>18</v>
      </c>
      <c r="E734" s="3" t="s">
        <v>24</v>
      </c>
      <c r="F734" s="3" t="s">
        <v>39</v>
      </c>
      <c r="G734" s="3" t="s">
        <v>21</v>
      </c>
      <c r="H734" s="3" t="n">
        <v>1</v>
      </c>
      <c r="I734" s="3" t="n">
        <v>1</v>
      </c>
      <c r="J734" s="3" t="n">
        <v>1</v>
      </c>
      <c r="K734" s="3" t="n">
        <v>0</v>
      </c>
      <c r="L734" s="3" t="n">
        <v>0</v>
      </c>
      <c r="M734" s="3" t="n">
        <v>0</v>
      </c>
      <c r="N734" s="3" t="n">
        <v>0</v>
      </c>
      <c r="O734" s="3"/>
      <c r="P734" s="3" t="n">
        <v>78.9</v>
      </c>
    </row>
    <row r="735" customFormat="false" ht="15" hidden="false" customHeight="false" outlineLevel="0" collapsed="false">
      <c r="A735" s="3" t="s">
        <v>767</v>
      </c>
      <c r="B735" s="4" t="n">
        <v>45762</v>
      </c>
      <c r="C735" s="3" t="s">
        <v>724</v>
      </c>
      <c r="D735" s="3" t="s">
        <v>28</v>
      </c>
      <c r="E735" s="3" t="s">
        <v>19</v>
      </c>
      <c r="F735" s="3" t="s">
        <v>41</v>
      </c>
      <c r="G735" s="3" t="s">
        <v>30</v>
      </c>
      <c r="H735" s="3" t="n">
        <v>1</v>
      </c>
      <c r="I735" s="3" t="n">
        <v>1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/>
      <c r="P735" s="3" t="n">
        <v>83.3</v>
      </c>
    </row>
    <row r="736" customFormat="false" ht="15" hidden="false" customHeight="false" outlineLevel="0" collapsed="false">
      <c r="A736" s="3" t="s">
        <v>768</v>
      </c>
      <c r="B736" s="4" t="n">
        <v>45744</v>
      </c>
      <c r="C736" s="3" t="s">
        <v>724</v>
      </c>
      <c r="D736" s="3" t="s">
        <v>28</v>
      </c>
      <c r="E736" s="3" t="s">
        <v>19</v>
      </c>
      <c r="F736" s="3" t="s">
        <v>20</v>
      </c>
      <c r="G736" s="3" t="s">
        <v>26</v>
      </c>
      <c r="H736" s="3" t="n">
        <v>1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1</v>
      </c>
      <c r="N736" s="3" t="n">
        <v>0</v>
      </c>
      <c r="O736" s="3"/>
      <c r="P736" s="3" t="n">
        <v>24.5</v>
      </c>
    </row>
    <row r="737" customFormat="false" ht="15" hidden="false" customHeight="false" outlineLevel="0" collapsed="false">
      <c r="A737" s="3" t="s">
        <v>769</v>
      </c>
      <c r="B737" s="4" t="n">
        <v>45748</v>
      </c>
      <c r="C737" s="3" t="s">
        <v>724</v>
      </c>
      <c r="D737" s="3" t="s">
        <v>23</v>
      </c>
      <c r="E737" s="3" t="s">
        <v>24</v>
      </c>
      <c r="F737" s="3" t="s">
        <v>29</v>
      </c>
      <c r="G737" s="3" t="s">
        <v>21</v>
      </c>
      <c r="H737" s="3" t="n">
        <v>1</v>
      </c>
      <c r="I737" s="3" t="n">
        <v>1</v>
      </c>
      <c r="J737" s="3" t="n">
        <v>0</v>
      </c>
      <c r="K737" s="3" t="n">
        <v>0</v>
      </c>
      <c r="L737" s="3" t="n">
        <v>0</v>
      </c>
      <c r="M737" s="3" t="n">
        <v>1</v>
      </c>
      <c r="N737" s="3" t="n">
        <v>0</v>
      </c>
      <c r="O737" s="3"/>
      <c r="P737" s="3" t="n">
        <v>56.9</v>
      </c>
    </row>
    <row r="738" customFormat="false" ht="15" hidden="false" customHeight="false" outlineLevel="0" collapsed="false">
      <c r="A738" s="3" t="s">
        <v>770</v>
      </c>
      <c r="B738" s="4" t="n">
        <v>45699</v>
      </c>
      <c r="C738" s="3" t="s">
        <v>724</v>
      </c>
      <c r="D738" s="3" t="s">
        <v>23</v>
      </c>
      <c r="E738" s="3" t="s">
        <v>24</v>
      </c>
      <c r="F738" s="3" t="s">
        <v>41</v>
      </c>
      <c r="G738" s="3" t="s">
        <v>21</v>
      </c>
      <c r="H738" s="3" t="n">
        <v>1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/>
      <c r="P738" s="3" t="n">
        <v>69.9</v>
      </c>
    </row>
    <row r="739" customFormat="false" ht="15" hidden="false" customHeight="false" outlineLevel="0" collapsed="false">
      <c r="A739" s="3" t="s">
        <v>771</v>
      </c>
      <c r="B739" s="4" t="n">
        <v>45720</v>
      </c>
      <c r="C739" s="3" t="s">
        <v>724</v>
      </c>
      <c r="D739" s="3" t="s">
        <v>32</v>
      </c>
      <c r="E739" s="3" t="s">
        <v>24</v>
      </c>
      <c r="F739" s="3" t="s">
        <v>25</v>
      </c>
      <c r="G739" s="3" t="s">
        <v>26</v>
      </c>
      <c r="H739" s="3" t="n">
        <v>1</v>
      </c>
      <c r="I739" s="3" t="n">
        <v>1</v>
      </c>
      <c r="J739" s="3" t="n">
        <v>1</v>
      </c>
      <c r="K739" s="3" t="n">
        <v>0</v>
      </c>
      <c r="L739" s="3" t="n">
        <v>0</v>
      </c>
      <c r="M739" s="3" t="n">
        <v>0</v>
      </c>
      <c r="N739" s="3" t="n">
        <v>0</v>
      </c>
      <c r="O739" s="3"/>
      <c r="P739" s="3" t="n">
        <v>81.5</v>
      </c>
    </row>
    <row r="740" customFormat="false" ht="15" hidden="false" customHeight="false" outlineLevel="0" collapsed="false">
      <c r="A740" s="3" t="s">
        <v>772</v>
      </c>
      <c r="B740" s="4" t="n">
        <v>45678</v>
      </c>
      <c r="C740" s="3" t="s">
        <v>724</v>
      </c>
      <c r="D740" s="3" t="s">
        <v>18</v>
      </c>
      <c r="E740" s="3" t="s">
        <v>34</v>
      </c>
      <c r="F740" s="3" t="s">
        <v>41</v>
      </c>
      <c r="G740" s="3" t="s">
        <v>21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2</v>
      </c>
      <c r="N740" s="3" t="n">
        <v>0</v>
      </c>
      <c r="O740" s="3"/>
      <c r="P740" s="3" t="n">
        <v>37.9</v>
      </c>
    </row>
    <row r="741" customFormat="false" ht="15" hidden="false" customHeight="false" outlineLevel="0" collapsed="false">
      <c r="A741" s="3" t="s">
        <v>773</v>
      </c>
      <c r="B741" s="4" t="n">
        <v>45702</v>
      </c>
      <c r="C741" s="3" t="s">
        <v>724</v>
      </c>
      <c r="D741" s="3" t="s">
        <v>18</v>
      </c>
      <c r="E741" s="3" t="s">
        <v>24</v>
      </c>
      <c r="F741" s="3" t="s">
        <v>39</v>
      </c>
      <c r="G741" s="3" t="s">
        <v>26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1</v>
      </c>
      <c r="N741" s="3" t="n">
        <v>0</v>
      </c>
      <c r="O741" s="3"/>
      <c r="P741" s="3" t="n">
        <v>61.7</v>
      </c>
    </row>
    <row r="742" customFormat="false" ht="15" hidden="false" customHeight="false" outlineLevel="0" collapsed="false">
      <c r="A742" s="3" t="s">
        <v>774</v>
      </c>
      <c r="B742" s="4" t="n">
        <v>45746</v>
      </c>
      <c r="C742" s="3" t="s">
        <v>724</v>
      </c>
      <c r="D742" s="3" t="s">
        <v>18</v>
      </c>
      <c r="E742" s="3" t="s">
        <v>19</v>
      </c>
      <c r="F742" s="3" t="s">
        <v>156</v>
      </c>
      <c r="G742" s="3" t="s">
        <v>30</v>
      </c>
      <c r="H742" s="3" t="n">
        <v>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2</v>
      </c>
      <c r="N742" s="3" t="n">
        <v>0</v>
      </c>
      <c r="O742" s="3"/>
      <c r="P742" s="3" t="n">
        <v>53.2</v>
      </c>
    </row>
    <row r="743" customFormat="false" ht="15" hidden="false" customHeight="false" outlineLevel="0" collapsed="false">
      <c r="A743" s="3" t="s">
        <v>775</v>
      </c>
      <c r="B743" s="4" t="n">
        <v>45665</v>
      </c>
      <c r="C743" s="3" t="s">
        <v>724</v>
      </c>
      <c r="D743" s="3" t="s">
        <v>18</v>
      </c>
      <c r="E743" s="3" t="s">
        <v>24</v>
      </c>
      <c r="F743" s="3" t="s">
        <v>39</v>
      </c>
      <c r="G743" s="3" t="s">
        <v>26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/>
      <c r="P743" s="3" t="n">
        <v>61.9</v>
      </c>
    </row>
    <row r="744" customFormat="false" ht="15" hidden="false" customHeight="false" outlineLevel="0" collapsed="false">
      <c r="A744" s="3" t="s">
        <v>776</v>
      </c>
      <c r="B744" s="4" t="n">
        <v>45695</v>
      </c>
      <c r="C744" s="3" t="s">
        <v>724</v>
      </c>
      <c r="D744" s="3" t="s">
        <v>18</v>
      </c>
      <c r="E744" s="3" t="s">
        <v>24</v>
      </c>
      <c r="F744" s="3" t="s">
        <v>41</v>
      </c>
      <c r="G744" s="3" t="s">
        <v>26</v>
      </c>
      <c r="H744" s="3" t="n">
        <v>1</v>
      </c>
      <c r="I744" s="3" t="n">
        <v>1</v>
      </c>
      <c r="J744" s="3" t="n">
        <v>1</v>
      </c>
      <c r="K744" s="3" t="n">
        <v>0</v>
      </c>
      <c r="L744" s="3" t="n">
        <v>0</v>
      </c>
      <c r="M744" s="3" t="n">
        <v>0</v>
      </c>
      <c r="N744" s="3" t="n">
        <v>0</v>
      </c>
      <c r="O744" s="3"/>
      <c r="P744" s="3" t="n">
        <v>68.9</v>
      </c>
    </row>
    <row r="745" customFormat="false" ht="15" hidden="false" customHeight="false" outlineLevel="0" collapsed="false">
      <c r="A745" s="3" t="s">
        <v>777</v>
      </c>
      <c r="B745" s="4" t="n">
        <v>45689</v>
      </c>
      <c r="C745" s="3" t="s">
        <v>724</v>
      </c>
      <c r="D745" s="3" t="s">
        <v>18</v>
      </c>
      <c r="E745" s="3" t="s">
        <v>34</v>
      </c>
      <c r="F745" s="3" t="s">
        <v>29</v>
      </c>
      <c r="G745" s="3" t="s">
        <v>21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/>
      <c r="P745" s="3" t="n">
        <v>66.3</v>
      </c>
    </row>
    <row r="746" customFormat="false" ht="15" hidden="false" customHeight="false" outlineLevel="0" collapsed="false">
      <c r="A746" s="3" t="s">
        <v>778</v>
      </c>
      <c r="B746" s="4" t="n">
        <v>45661</v>
      </c>
      <c r="C746" s="3" t="s">
        <v>724</v>
      </c>
      <c r="D746" s="3" t="s">
        <v>28</v>
      </c>
      <c r="E746" s="3" t="s">
        <v>24</v>
      </c>
      <c r="F746" s="3" t="s">
        <v>20</v>
      </c>
      <c r="G746" s="3" t="s">
        <v>26</v>
      </c>
      <c r="H746" s="3" t="n">
        <v>1</v>
      </c>
      <c r="I746" s="3" t="n">
        <v>1</v>
      </c>
      <c r="J746" s="3" t="n">
        <v>1</v>
      </c>
      <c r="K746" s="3" t="n">
        <v>0</v>
      </c>
      <c r="L746" s="3" t="n">
        <v>0</v>
      </c>
      <c r="M746" s="3" t="n">
        <v>0</v>
      </c>
      <c r="N746" s="3" t="n">
        <v>0</v>
      </c>
      <c r="O746" s="3"/>
      <c r="P746" s="3" t="n">
        <v>54.6</v>
      </c>
    </row>
    <row r="747" customFormat="false" ht="15" hidden="false" customHeight="false" outlineLevel="0" collapsed="false">
      <c r="A747" s="3" t="s">
        <v>779</v>
      </c>
      <c r="B747" s="4" t="n">
        <v>45793</v>
      </c>
      <c r="C747" s="3" t="s">
        <v>724</v>
      </c>
      <c r="D747" s="3" t="s">
        <v>32</v>
      </c>
      <c r="E747" s="3" t="s">
        <v>19</v>
      </c>
      <c r="F747" s="3" t="s">
        <v>39</v>
      </c>
      <c r="G747" s="3" t="s">
        <v>26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/>
      <c r="P747" s="3" t="n">
        <v>53.8</v>
      </c>
    </row>
    <row r="748" customFormat="false" ht="15" hidden="false" customHeight="false" outlineLevel="0" collapsed="false">
      <c r="A748" s="3" t="s">
        <v>780</v>
      </c>
      <c r="B748" s="4" t="n">
        <v>45716</v>
      </c>
      <c r="C748" s="3" t="s">
        <v>724</v>
      </c>
      <c r="D748" s="3" t="s">
        <v>23</v>
      </c>
      <c r="E748" s="3" t="s">
        <v>24</v>
      </c>
      <c r="F748" s="3" t="s">
        <v>39</v>
      </c>
      <c r="G748" s="3" t="s">
        <v>26</v>
      </c>
      <c r="H748" s="3" t="n">
        <v>1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/>
      <c r="P748" s="3" t="n">
        <v>59.5</v>
      </c>
    </row>
    <row r="749" customFormat="false" ht="15" hidden="false" customHeight="false" outlineLevel="0" collapsed="false">
      <c r="A749" s="3" t="s">
        <v>781</v>
      </c>
      <c r="B749" s="4" t="n">
        <v>45759</v>
      </c>
      <c r="C749" s="3" t="s">
        <v>724</v>
      </c>
      <c r="D749" s="3" t="s">
        <v>18</v>
      </c>
      <c r="E749" s="3" t="s">
        <v>24</v>
      </c>
      <c r="F749" s="3" t="s">
        <v>39</v>
      </c>
      <c r="G749" s="3" t="s">
        <v>26</v>
      </c>
      <c r="H749" s="3" t="n">
        <v>1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/>
      <c r="P749" s="3" t="n">
        <v>52.6</v>
      </c>
    </row>
    <row r="750" customFormat="false" ht="15" hidden="false" customHeight="false" outlineLevel="0" collapsed="false">
      <c r="A750" s="3" t="s">
        <v>782</v>
      </c>
      <c r="B750" s="4" t="n">
        <v>45739</v>
      </c>
      <c r="C750" s="3" t="s">
        <v>724</v>
      </c>
      <c r="D750" s="3" t="s">
        <v>32</v>
      </c>
      <c r="E750" s="3" t="s">
        <v>19</v>
      </c>
      <c r="F750" s="3" t="s">
        <v>25</v>
      </c>
      <c r="G750" s="3" t="s">
        <v>26</v>
      </c>
      <c r="H750" s="3" t="n">
        <v>0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0</v>
      </c>
      <c r="O750" s="3"/>
      <c r="P750" s="3" t="n">
        <v>49</v>
      </c>
    </row>
    <row r="751" customFormat="false" ht="15" hidden="false" customHeight="false" outlineLevel="0" collapsed="false">
      <c r="A751" s="3" t="s">
        <v>783</v>
      </c>
      <c r="B751" s="4" t="n">
        <v>45806</v>
      </c>
      <c r="C751" s="3" t="s">
        <v>724</v>
      </c>
      <c r="D751" s="3" t="s">
        <v>18</v>
      </c>
      <c r="E751" s="3" t="s">
        <v>34</v>
      </c>
      <c r="F751" s="3" t="s">
        <v>25</v>
      </c>
      <c r="G751" s="3" t="s">
        <v>26</v>
      </c>
      <c r="H751" s="3" t="n">
        <v>1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/>
      <c r="P751" s="3" t="n">
        <v>59.3</v>
      </c>
    </row>
    <row r="752" customFormat="false" ht="15" hidden="false" customHeight="false" outlineLevel="0" collapsed="false">
      <c r="A752" s="3" t="s">
        <v>784</v>
      </c>
      <c r="B752" s="4" t="n">
        <v>45798</v>
      </c>
      <c r="C752" s="3" t="s">
        <v>724</v>
      </c>
      <c r="D752" s="3" t="s">
        <v>32</v>
      </c>
      <c r="E752" s="3" t="s">
        <v>19</v>
      </c>
      <c r="F752" s="3" t="s">
        <v>25</v>
      </c>
      <c r="G752" s="3" t="s">
        <v>21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/>
      <c r="P752" s="3" t="n">
        <v>67.2</v>
      </c>
    </row>
    <row r="753" customFormat="false" ht="15" hidden="false" customHeight="false" outlineLevel="0" collapsed="false">
      <c r="A753" s="3" t="s">
        <v>785</v>
      </c>
      <c r="B753" s="4" t="n">
        <v>45662</v>
      </c>
      <c r="C753" s="3" t="s">
        <v>724</v>
      </c>
      <c r="D753" s="3" t="s">
        <v>32</v>
      </c>
      <c r="E753" s="3" t="s">
        <v>24</v>
      </c>
      <c r="F753" s="3" t="s">
        <v>39</v>
      </c>
      <c r="G753" s="3" t="s">
        <v>30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/>
      <c r="P753" s="3" t="n">
        <v>73.5</v>
      </c>
    </row>
    <row r="754" customFormat="false" ht="15" hidden="false" customHeight="false" outlineLevel="0" collapsed="false">
      <c r="A754" s="3" t="s">
        <v>786</v>
      </c>
      <c r="B754" s="4" t="n">
        <v>45735</v>
      </c>
      <c r="C754" s="3" t="s">
        <v>724</v>
      </c>
      <c r="D754" s="3" t="s">
        <v>28</v>
      </c>
      <c r="E754" s="3" t="s">
        <v>34</v>
      </c>
      <c r="F754" s="3" t="s">
        <v>25</v>
      </c>
      <c r="G754" s="3" t="s">
        <v>26</v>
      </c>
      <c r="H754" s="3" t="n">
        <v>1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/>
      <c r="P754" s="3" t="n">
        <v>61.2</v>
      </c>
    </row>
    <row r="755" customFormat="false" ht="15" hidden="false" customHeight="false" outlineLevel="0" collapsed="false">
      <c r="A755" s="3" t="s">
        <v>787</v>
      </c>
      <c r="B755" s="4" t="n">
        <v>45771</v>
      </c>
      <c r="C755" s="3" t="s">
        <v>724</v>
      </c>
      <c r="D755" s="3" t="s">
        <v>28</v>
      </c>
      <c r="E755" s="3" t="s">
        <v>24</v>
      </c>
      <c r="F755" s="3" t="s">
        <v>25</v>
      </c>
      <c r="G755" s="3" t="s">
        <v>26</v>
      </c>
      <c r="H755" s="3" t="n">
        <v>1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1</v>
      </c>
      <c r="N755" s="3" t="n">
        <v>0</v>
      </c>
      <c r="O755" s="3"/>
      <c r="P755" s="3" t="n">
        <v>56.4</v>
      </c>
    </row>
    <row r="756" customFormat="false" ht="15" hidden="false" customHeight="false" outlineLevel="0" collapsed="false">
      <c r="A756" s="3" t="s">
        <v>788</v>
      </c>
      <c r="B756" s="4" t="n">
        <v>45726</v>
      </c>
      <c r="C756" s="3" t="s">
        <v>724</v>
      </c>
      <c r="D756" s="3" t="s">
        <v>18</v>
      </c>
      <c r="E756" s="3" t="s">
        <v>34</v>
      </c>
      <c r="F756" s="3" t="s">
        <v>25</v>
      </c>
      <c r="G756" s="3" t="s">
        <v>26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3</v>
      </c>
      <c r="N756" s="3" t="n">
        <v>0</v>
      </c>
      <c r="O756" s="3"/>
      <c r="P756" s="3" t="n">
        <v>72.6</v>
      </c>
    </row>
    <row r="757" customFormat="false" ht="15" hidden="false" customHeight="false" outlineLevel="0" collapsed="false">
      <c r="A757" s="3" t="s">
        <v>789</v>
      </c>
      <c r="B757" s="4" t="n">
        <v>45710</v>
      </c>
      <c r="C757" s="3" t="s">
        <v>724</v>
      </c>
      <c r="D757" s="3" t="s">
        <v>32</v>
      </c>
      <c r="E757" s="3" t="s">
        <v>34</v>
      </c>
      <c r="F757" s="3" t="s">
        <v>39</v>
      </c>
      <c r="G757" s="3" t="s">
        <v>21</v>
      </c>
      <c r="H757" s="3" t="n">
        <v>1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/>
      <c r="P757" s="3" t="n">
        <v>61.7</v>
      </c>
    </row>
    <row r="758" customFormat="false" ht="15" hidden="false" customHeight="false" outlineLevel="0" collapsed="false">
      <c r="A758" s="3" t="s">
        <v>790</v>
      </c>
      <c r="B758" s="4" t="n">
        <v>45794</v>
      </c>
      <c r="C758" s="3" t="s">
        <v>724</v>
      </c>
      <c r="D758" s="3" t="s">
        <v>28</v>
      </c>
      <c r="E758" s="3" t="s">
        <v>24</v>
      </c>
      <c r="F758" s="3" t="s">
        <v>41</v>
      </c>
      <c r="G758" s="3" t="s">
        <v>26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1</v>
      </c>
      <c r="N758" s="3" t="n">
        <v>0</v>
      </c>
      <c r="O758" s="3"/>
      <c r="P758" s="3" t="n">
        <v>66.9</v>
      </c>
    </row>
    <row r="759" customFormat="false" ht="15" hidden="false" customHeight="false" outlineLevel="0" collapsed="false">
      <c r="A759" s="3" t="s">
        <v>791</v>
      </c>
      <c r="B759" s="4" t="n">
        <v>45786</v>
      </c>
      <c r="C759" s="3" t="s">
        <v>724</v>
      </c>
      <c r="D759" s="3" t="s">
        <v>28</v>
      </c>
      <c r="E759" s="3" t="s">
        <v>34</v>
      </c>
      <c r="F759" s="3" t="s">
        <v>39</v>
      </c>
      <c r="G759" s="3" t="s">
        <v>30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1506.24</v>
      </c>
      <c r="M759" s="3" t="n">
        <v>1</v>
      </c>
      <c r="N759" s="3" t="n">
        <v>0</v>
      </c>
      <c r="O759" s="3" t="n">
        <v>7</v>
      </c>
      <c r="P759" s="3" t="n">
        <v>64.9</v>
      </c>
    </row>
    <row r="760" customFormat="false" ht="15" hidden="false" customHeight="false" outlineLevel="0" collapsed="false">
      <c r="A760" s="3" t="s">
        <v>792</v>
      </c>
      <c r="B760" s="4" t="n">
        <v>45773</v>
      </c>
      <c r="C760" s="3" t="s">
        <v>724</v>
      </c>
      <c r="D760" s="3" t="s">
        <v>28</v>
      </c>
      <c r="E760" s="3" t="s">
        <v>34</v>
      </c>
      <c r="F760" s="3" t="s">
        <v>25</v>
      </c>
      <c r="G760" s="3" t="s">
        <v>30</v>
      </c>
      <c r="H760" s="3" t="n">
        <v>1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/>
      <c r="P760" s="3" t="n">
        <v>57.5</v>
      </c>
    </row>
    <row r="761" customFormat="false" ht="15" hidden="false" customHeight="false" outlineLevel="0" collapsed="false">
      <c r="A761" s="3" t="s">
        <v>793</v>
      </c>
      <c r="B761" s="4" t="n">
        <v>45731</v>
      </c>
      <c r="C761" s="3" t="s">
        <v>724</v>
      </c>
      <c r="D761" s="3" t="s">
        <v>23</v>
      </c>
      <c r="E761" s="3" t="s">
        <v>19</v>
      </c>
      <c r="F761" s="3" t="s">
        <v>41</v>
      </c>
      <c r="G761" s="3" t="s">
        <v>26</v>
      </c>
      <c r="H761" s="3" t="n">
        <v>1</v>
      </c>
      <c r="I761" s="3" t="n">
        <v>1</v>
      </c>
      <c r="J761" s="3" t="n">
        <v>1</v>
      </c>
      <c r="K761" s="3" t="n">
        <v>0</v>
      </c>
      <c r="L761" s="3" t="n">
        <v>0</v>
      </c>
      <c r="M761" s="3" t="n">
        <v>0</v>
      </c>
      <c r="N761" s="3" t="n">
        <v>0</v>
      </c>
      <c r="O761" s="3"/>
      <c r="P761" s="3" t="n">
        <v>76.3</v>
      </c>
    </row>
    <row r="762" customFormat="false" ht="15" hidden="false" customHeight="false" outlineLevel="0" collapsed="false">
      <c r="A762" s="3" t="s">
        <v>794</v>
      </c>
      <c r="B762" s="4" t="n">
        <v>45750</v>
      </c>
      <c r="C762" s="3" t="s">
        <v>724</v>
      </c>
      <c r="D762" s="3" t="s">
        <v>18</v>
      </c>
      <c r="E762" s="3" t="s">
        <v>24</v>
      </c>
      <c r="F762" s="3" t="s">
        <v>29</v>
      </c>
      <c r="G762" s="3" t="s">
        <v>26</v>
      </c>
      <c r="H762" s="3" t="n">
        <v>0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0</v>
      </c>
      <c r="O762" s="3"/>
      <c r="P762" s="3" t="n">
        <v>47.5</v>
      </c>
    </row>
    <row r="763" customFormat="false" ht="15" hidden="false" customHeight="false" outlineLevel="0" collapsed="false">
      <c r="A763" s="3" t="s">
        <v>795</v>
      </c>
      <c r="B763" s="4" t="n">
        <v>45742</v>
      </c>
      <c r="C763" s="3" t="s">
        <v>724</v>
      </c>
      <c r="D763" s="3" t="s">
        <v>32</v>
      </c>
      <c r="E763" s="3" t="s">
        <v>24</v>
      </c>
      <c r="F763" s="3" t="s">
        <v>29</v>
      </c>
      <c r="G763" s="3" t="s">
        <v>26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/>
      <c r="P763" s="3"/>
    </row>
    <row r="764" customFormat="false" ht="15" hidden="false" customHeight="false" outlineLevel="0" collapsed="false">
      <c r="A764" s="3" t="s">
        <v>796</v>
      </c>
      <c r="B764" s="4" t="n">
        <v>45693</v>
      </c>
      <c r="C764" s="3" t="s">
        <v>724</v>
      </c>
      <c r="D764" s="3" t="s">
        <v>23</v>
      </c>
      <c r="E764" s="3" t="s">
        <v>19</v>
      </c>
      <c r="F764" s="3" t="s">
        <v>25</v>
      </c>
      <c r="G764" s="3" t="s">
        <v>21</v>
      </c>
      <c r="H764" s="3" t="n">
        <v>1</v>
      </c>
      <c r="I764" s="3" t="n">
        <v>1</v>
      </c>
      <c r="J764" s="3" t="n">
        <v>0</v>
      </c>
      <c r="K764" s="3" t="n">
        <v>0</v>
      </c>
      <c r="L764" s="3" t="n">
        <v>0</v>
      </c>
      <c r="M764" s="3" t="n">
        <v>2</v>
      </c>
      <c r="N764" s="3" t="n">
        <v>0</v>
      </c>
      <c r="O764" s="3"/>
      <c r="P764" s="3" t="n">
        <v>71.6</v>
      </c>
    </row>
    <row r="765" customFormat="false" ht="15" hidden="false" customHeight="false" outlineLevel="0" collapsed="false">
      <c r="A765" s="3" t="s">
        <v>797</v>
      </c>
      <c r="B765" s="4" t="n">
        <v>45785</v>
      </c>
      <c r="C765" s="3" t="s">
        <v>724</v>
      </c>
      <c r="D765" s="3" t="s">
        <v>32</v>
      </c>
      <c r="E765" s="3" t="s">
        <v>24</v>
      </c>
      <c r="F765" s="3" t="s">
        <v>41</v>
      </c>
      <c r="G765" s="3" t="s">
        <v>21</v>
      </c>
      <c r="H765" s="3" t="n">
        <v>1</v>
      </c>
      <c r="I765" s="3" t="n">
        <v>1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0</v>
      </c>
      <c r="O765" s="3"/>
      <c r="P765" s="3" t="n">
        <v>55.8</v>
      </c>
    </row>
    <row r="766" customFormat="false" ht="15" hidden="false" customHeight="false" outlineLevel="0" collapsed="false">
      <c r="A766" s="3" t="s">
        <v>798</v>
      </c>
      <c r="B766" s="4" t="n">
        <v>45741</v>
      </c>
      <c r="C766" s="3" t="s">
        <v>724</v>
      </c>
      <c r="D766" s="3" t="s">
        <v>32</v>
      </c>
      <c r="E766" s="3" t="s">
        <v>19</v>
      </c>
      <c r="F766" s="3" t="s">
        <v>25</v>
      </c>
      <c r="G766" s="3" t="s">
        <v>21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1</v>
      </c>
      <c r="N766" s="3" t="n">
        <v>0</v>
      </c>
      <c r="O766" s="3"/>
      <c r="P766" s="3" t="n">
        <v>60.1</v>
      </c>
    </row>
    <row r="767" customFormat="false" ht="15" hidden="false" customHeight="false" outlineLevel="0" collapsed="false">
      <c r="A767" s="3" t="s">
        <v>799</v>
      </c>
      <c r="B767" s="4" t="n">
        <v>45671</v>
      </c>
      <c r="C767" s="3" t="s">
        <v>724</v>
      </c>
      <c r="D767" s="3" t="s">
        <v>23</v>
      </c>
      <c r="E767" s="3" t="s">
        <v>156</v>
      </c>
      <c r="F767" s="3" t="s">
        <v>20</v>
      </c>
      <c r="G767" s="3" t="s">
        <v>21</v>
      </c>
      <c r="H767" s="3" t="n">
        <v>1</v>
      </c>
      <c r="I767" s="3" t="n">
        <v>1</v>
      </c>
      <c r="J767" s="3" t="n">
        <v>1</v>
      </c>
      <c r="K767" s="3" t="n">
        <v>0</v>
      </c>
      <c r="L767" s="3" t="n">
        <v>0</v>
      </c>
      <c r="M767" s="3" t="n">
        <v>1</v>
      </c>
      <c r="N767" s="3" t="n">
        <v>0</v>
      </c>
      <c r="O767" s="3"/>
      <c r="P767" s="3" t="n">
        <v>59.3</v>
      </c>
    </row>
    <row r="768" customFormat="false" ht="15" hidden="false" customHeight="false" outlineLevel="0" collapsed="false">
      <c r="A768" s="3" t="s">
        <v>800</v>
      </c>
      <c r="B768" s="4" t="n">
        <v>45742</v>
      </c>
      <c r="C768" s="3" t="s">
        <v>724</v>
      </c>
      <c r="D768" s="3" t="s">
        <v>18</v>
      </c>
      <c r="E768" s="3" t="s">
        <v>24</v>
      </c>
      <c r="F768" s="3" t="s">
        <v>25</v>
      </c>
      <c r="G768" s="3" t="s">
        <v>26</v>
      </c>
      <c r="H768" s="3" t="n">
        <v>1</v>
      </c>
      <c r="I768" s="3" t="n">
        <v>1</v>
      </c>
      <c r="J768" s="3" t="n">
        <v>0</v>
      </c>
      <c r="K768" s="3" t="n">
        <v>0</v>
      </c>
      <c r="L768" s="3" t="n">
        <v>0</v>
      </c>
      <c r="M768" s="3" t="n">
        <v>2</v>
      </c>
      <c r="N768" s="3" t="n">
        <v>0</v>
      </c>
      <c r="O768" s="3"/>
      <c r="P768" s="3" t="n">
        <v>49.3</v>
      </c>
    </row>
    <row r="769" customFormat="false" ht="15" hidden="false" customHeight="false" outlineLevel="0" collapsed="false">
      <c r="A769" s="3" t="s">
        <v>801</v>
      </c>
      <c r="B769" s="4" t="n">
        <v>45673</v>
      </c>
      <c r="C769" s="3" t="s">
        <v>724</v>
      </c>
      <c r="D769" s="3" t="s">
        <v>28</v>
      </c>
      <c r="E769" s="3" t="s">
        <v>24</v>
      </c>
      <c r="F769" s="3" t="s">
        <v>39</v>
      </c>
      <c r="G769" s="3" t="s">
        <v>26</v>
      </c>
      <c r="H769" s="3" t="n">
        <v>1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/>
      <c r="P769" s="3" t="n">
        <v>75</v>
      </c>
    </row>
    <row r="770" customFormat="false" ht="15" hidden="false" customHeight="false" outlineLevel="0" collapsed="false">
      <c r="A770" s="3" t="s">
        <v>802</v>
      </c>
      <c r="B770" s="4" t="n">
        <v>45661</v>
      </c>
      <c r="C770" s="3" t="s">
        <v>724</v>
      </c>
      <c r="D770" s="3" t="s">
        <v>28</v>
      </c>
      <c r="E770" s="3" t="s">
        <v>24</v>
      </c>
      <c r="F770" s="3" t="s">
        <v>41</v>
      </c>
      <c r="G770" s="3" t="s">
        <v>26</v>
      </c>
      <c r="H770" s="3" t="n">
        <v>1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0</v>
      </c>
      <c r="O770" s="3"/>
      <c r="P770" s="3" t="n">
        <v>70.2</v>
      </c>
    </row>
    <row r="771" customFormat="false" ht="15" hidden="false" customHeight="false" outlineLevel="0" collapsed="false">
      <c r="A771" s="3" t="s">
        <v>803</v>
      </c>
      <c r="B771" s="4" t="n">
        <v>45697</v>
      </c>
      <c r="C771" s="3" t="s">
        <v>724</v>
      </c>
      <c r="D771" s="3" t="s">
        <v>32</v>
      </c>
      <c r="E771" s="3" t="s">
        <v>19</v>
      </c>
      <c r="F771" s="3" t="s">
        <v>25</v>
      </c>
      <c r="G771" s="3" t="s">
        <v>30</v>
      </c>
      <c r="H771" s="3" t="n">
        <v>1</v>
      </c>
      <c r="I771" s="3" t="n">
        <v>1</v>
      </c>
      <c r="J771" s="3" t="n">
        <v>1</v>
      </c>
      <c r="K771" s="3" t="n">
        <v>0</v>
      </c>
      <c r="L771" s="3" t="n">
        <v>0</v>
      </c>
      <c r="M771" s="3" t="n">
        <v>0</v>
      </c>
      <c r="N771" s="3" t="n">
        <v>0</v>
      </c>
      <c r="O771" s="3"/>
      <c r="P771" s="3" t="n">
        <v>56.6</v>
      </c>
    </row>
    <row r="772" customFormat="false" ht="15" hidden="false" customHeight="false" outlineLevel="0" collapsed="false">
      <c r="A772" s="3" t="s">
        <v>804</v>
      </c>
      <c r="B772" s="4" t="n">
        <v>45721</v>
      </c>
      <c r="C772" s="3" t="s">
        <v>724</v>
      </c>
      <c r="D772" s="3" t="s">
        <v>28</v>
      </c>
      <c r="E772" s="3" t="s">
        <v>19</v>
      </c>
      <c r="F772" s="3" t="s">
        <v>25</v>
      </c>
      <c r="G772" s="3" t="s">
        <v>26</v>
      </c>
      <c r="H772" s="3" t="n">
        <v>1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/>
      <c r="P772" s="3" t="n">
        <v>65.4</v>
      </c>
    </row>
    <row r="773" customFormat="false" ht="15" hidden="false" customHeight="false" outlineLevel="0" collapsed="false">
      <c r="A773" s="3" t="s">
        <v>805</v>
      </c>
      <c r="B773" s="4" t="n">
        <v>45726</v>
      </c>
      <c r="C773" s="3" t="s">
        <v>724</v>
      </c>
      <c r="D773" s="3" t="s">
        <v>28</v>
      </c>
      <c r="E773" s="3" t="s">
        <v>24</v>
      </c>
      <c r="F773" s="3" t="s">
        <v>39</v>
      </c>
      <c r="G773" s="3" t="s">
        <v>21</v>
      </c>
      <c r="H773" s="3" t="n">
        <v>1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/>
      <c r="P773" s="3" t="n">
        <v>47.6</v>
      </c>
    </row>
    <row r="774" customFormat="false" ht="15" hidden="false" customHeight="false" outlineLevel="0" collapsed="false">
      <c r="A774" s="3" t="s">
        <v>806</v>
      </c>
      <c r="B774" s="4" t="n">
        <v>45715</v>
      </c>
      <c r="C774" s="3" t="s">
        <v>724</v>
      </c>
      <c r="D774" s="3" t="s">
        <v>28</v>
      </c>
      <c r="E774" s="3" t="s">
        <v>19</v>
      </c>
      <c r="F774" s="3" t="s">
        <v>29</v>
      </c>
      <c r="G774" s="3" t="s">
        <v>26</v>
      </c>
      <c r="H774" s="3" t="n">
        <v>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/>
      <c r="P774" s="3" t="n">
        <v>56.7</v>
      </c>
    </row>
    <row r="775" customFormat="false" ht="15" hidden="false" customHeight="false" outlineLevel="0" collapsed="false">
      <c r="A775" s="3" t="s">
        <v>807</v>
      </c>
      <c r="B775" s="4" t="n">
        <v>45726</v>
      </c>
      <c r="C775" s="3" t="s">
        <v>724</v>
      </c>
      <c r="D775" s="3" t="s">
        <v>18</v>
      </c>
      <c r="E775" s="3" t="s">
        <v>19</v>
      </c>
      <c r="F775" s="3" t="s">
        <v>39</v>
      </c>
      <c r="G775" s="3" t="s">
        <v>21</v>
      </c>
      <c r="H775" s="3" t="n">
        <v>1</v>
      </c>
      <c r="I775" s="3" t="n">
        <v>1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/>
      <c r="P775" s="3" t="n">
        <v>71.4</v>
      </c>
    </row>
    <row r="776" customFormat="false" ht="15" hidden="false" customHeight="false" outlineLevel="0" collapsed="false">
      <c r="A776" s="3" t="s">
        <v>808</v>
      </c>
      <c r="B776" s="4" t="n">
        <v>45770</v>
      </c>
      <c r="C776" s="3" t="s">
        <v>724</v>
      </c>
      <c r="D776" s="3" t="s">
        <v>23</v>
      </c>
      <c r="E776" s="3" t="s">
        <v>24</v>
      </c>
      <c r="F776" s="3" t="s">
        <v>41</v>
      </c>
      <c r="G776" s="3" t="s">
        <v>26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2</v>
      </c>
      <c r="N776" s="3" t="n">
        <v>0</v>
      </c>
      <c r="O776" s="3"/>
      <c r="P776" s="3" t="n">
        <v>60.5</v>
      </c>
    </row>
    <row r="777" customFormat="false" ht="15" hidden="false" customHeight="false" outlineLevel="0" collapsed="false">
      <c r="A777" s="3" t="s">
        <v>809</v>
      </c>
      <c r="B777" s="4" t="n">
        <v>45759</v>
      </c>
      <c r="C777" s="3" t="s">
        <v>724</v>
      </c>
      <c r="D777" s="3" t="s">
        <v>18</v>
      </c>
      <c r="E777" s="3" t="s">
        <v>19</v>
      </c>
      <c r="F777" s="3" t="s">
        <v>29</v>
      </c>
      <c r="G777" s="3" t="s">
        <v>26</v>
      </c>
      <c r="H777" s="3" t="n">
        <v>1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0</v>
      </c>
      <c r="O777" s="3"/>
      <c r="P777" s="3" t="n">
        <v>46.7</v>
      </c>
    </row>
    <row r="778" customFormat="false" ht="15" hidden="false" customHeight="false" outlineLevel="0" collapsed="false">
      <c r="A778" s="3" t="s">
        <v>810</v>
      </c>
      <c r="B778" s="4" t="n">
        <v>45683</v>
      </c>
      <c r="C778" s="3" t="s">
        <v>724</v>
      </c>
      <c r="D778" s="3" t="s">
        <v>28</v>
      </c>
      <c r="E778" s="3" t="s">
        <v>19</v>
      </c>
      <c r="F778" s="3" t="s">
        <v>39</v>
      </c>
      <c r="G778" s="3" t="s">
        <v>26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/>
      <c r="P778" s="3" t="n">
        <v>61</v>
      </c>
    </row>
    <row r="779" customFormat="false" ht="15" hidden="false" customHeight="false" outlineLevel="0" collapsed="false">
      <c r="A779" s="3" t="s">
        <v>811</v>
      </c>
      <c r="B779" s="4" t="n">
        <v>45801</v>
      </c>
      <c r="C779" s="3" t="s">
        <v>724</v>
      </c>
      <c r="D779" s="3" t="s">
        <v>23</v>
      </c>
      <c r="E779" s="3" t="s">
        <v>34</v>
      </c>
      <c r="F779" s="3" t="s">
        <v>29</v>
      </c>
      <c r="G779" s="3" t="s">
        <v>26</v>
      </c>
      <c r="H779" s="3" t="n">
        <v>0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0</v>
      </c>
      <c r="O779" s="3"/>
      <c r="P779" s="3" t="n">
        <v>60.9</v>
      </c>
    </row>
    <row r="780" customFormat="false" ht="15" hidden="false" customHeight="false" outlineLevel="0" collapsed="false">
      <c r="A780" s="3" t="s">
        <v>812</v>
      </c>
      <c r="B780" s="4" t="n">
        <v>45665</v>
      </c>
      <c r="C780" s="3" t="s">
        <v>724</v>
      </c>
      <c r="D780" s="3" t="s">
        <v>32</v>
      </c>
      <c r="E780" s="3" t="s">
        <v>24</v>
      </c>
      <c r="F780" s="3" t="s">
        <v>25</v>
      </c>
      <c r="G780" s="3" t="s">
        <v>26</v>
      </c>
      <c r="H780" s="3" t="n">
        <v>1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/>
      <c r="P780" s="3" t="n">
        <v>67.1</v>
      </c>
    </row>
    <row r="781" customFormat="false" ht="15" hidden="false" customHeight="false" outlineLevel="0" collapsed="false">
      <c r="A781" s="3" t="s">
        <v>813</v>
      </c>
      <c r="B781" s="4" t="n">
        <v>45762</v>
      </c>
      <c r="C781" s="3" t="s">
        <v>724</v>
      </c>
      <c r="D781" s="3" t="s">
        <v>18</v>
      </c>
      <c r="E781" s="3" t="s">
        <v>24</v>
      </c>
      <c r="F781" s="3" t="s">
        <v>39</v>
      </c>
      <c r="G781" s="3" t="s">
        <v>26</v>
      </c>
      <c r="H781" s="3" t="n">
        <v>1</v>
      </c>
      <c r="I781" s="3" t="n">
        <v>1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/>
      <c r="P781" s="3" t="n">
        <v>59.6</v>
      </c>
    </row>
    <row r="782" customFormat="false" ht="15" hidden="false" customHeight="false" outlineLevel="0" collapsed="false">
      <c r="A782" s="3" t="s">
        <v>814</v>
      </c>
      <c r="B782" s="4" t="n">
        <v>45672</v>
      </c>
      <c r="C782" s="3" t="s">
        <v>724</v>
      </c>
      <c r="D782" s="3" t="s">
        <v>32</v>
      </c>
      <c r="E782" s="3" t="s">
        <v>19</v>
      </c>
      <c r="F782" s="3" t="s">
        <v>29</v>
      </c>
      <c r="G782" s="3" t="s">
        <v>26</v>
      </c>
      <c r="H782" s="3" t="n">
        <v>1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/>
      <c r="P782" s="3" t="n">
        <v>83.8</v>
      </c>
    </row>
    <row r="783" customFormat="false" ht="15" hidden="false" customHeight="false" outlineLevel="0" collapsed="false">
      <c r="A783" s="3" t="s">
        <v>815</v>
      </c>
      <c r="B783" s="4" t="n">
        <v>45716</v>
      </c>
      <c r="C783" s="3" t="s">
        <v>724</v>
      </c>
      <c r="D783" s="3" t="s">
        <v>18</v>
      </c>
      <c r="E783" s="3" t="s">
        <v>24</v>
      </c>
      <c r="F783" s="3" t="s">
        <v>25</v>
      </c>
      <c r="G783" s="3" t="s">
        <v>21</v>
      </c>
      <c r="H783" s="3" t="n">
        <v>1</v>
      </c>
      <c r="I783" s="3" t="n">
        <v>1</v>
      </c>
      <c r="J783" s="3" t="n">
        <v>1</v>
      </c>
      <c r="K783" s="3" t="n">
        <v>0</v>
      </c>
      <c r="L783" s="3" t="n">
        <v>0</v>
      </c>
      <c r="M783" s="3" t="n">
        <v>0</v>
      </c>
      <c r="N783" s="3" t="n">
        <v>0</v>
      </c>
      <c r="O783" s="3"/>
      <c r="P783" s="3" t="n">
        <v>70.8</v>
      </c>
    </row>
    <row r="784" customFormat="false" ht="15" hidden="false" customHeight="false" outlineLevel="0" collapsed="false">
      <c r="A784" s="3" t="s">
        <v>816</v>
      </c>
      <c r="B784" s="4" t="n">
        <v>45658</v>
      </c>
      <c r="C784" s="3" t="s">
        <v>724</v>
      </c>
      <c r="D784" s="3" t="s">
        <v>18</v>
      </c>
      <c r="E784" s="3" t="s">
        <v>34</v>
      </c>
      <c r="F784" s="3" t="s">
        <v>25</v>
      </c>
      <c r="G784" s="3" t="s">
        <v>21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/>
      <c r="P784" s="3" t="n">
        <v>65.9</v>
      </c>
    </row>
    <row r="785" customFormat="false" ht="15" hidden="false" customHeight="false" outlineLevel="0" collapsed="false">
      <c r="A785" s="3" t="s">
        <v>817</v>
      </c>
      <c r="B785" s="4" t="n">
        <v>45764</v>
      </c>
      <c r="C785" s="3" t="s">
        <v>724</v>
      </c>
      <c r="D785" s="3" t="s">
        <v>23</v>
      </c>
      <c r="E785" s="3" t="s">
        <v>24</v>
      </c>
      <c r="F785" s="3" t="s">
        <v>39</v>
      </c>
      <c r="G785" s="3" t="s">
        <v>26</v>
      </c>
      <c r="H785" s="3" t="n">
        <v>1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0</v>
      </c>
      <c r="O785" s="3"/>
      <c r="P785" s="3" t="n">
        <v>58</v>
      </c>
    </row>
    <row r="786" customFormat="false" ht="15" hidden="false" customHeight="false" outlineLevel="0" collapsed="false">
      <c r="A786" s="3" t="s">
        <v>818</v>
      </c>
      <c r="B786" s="4" t="n">
        <v>45707</v>
      </c>
      <c r="C786" s="3" t="s">
        <v>724</v>
      </c>
      <c r="D786" s="3" t="s">
        <v>18</v>
      </c>
      <c r="E786" s="3" t="s">
        <v>24</v>
      </c>
      <c r="F786" s="3" t="s">
        <v>20</v>
      </c>
      <c r="G786" s="3" t="s">
        <v>21</v>
      </c>
      <c r="H786" s="3" t="n">
        <v>1</v>
      </c>
      <c r="I786" s="3" t="n">
        <v>1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0</v>
      </c>
      <c r="O786" s="3"/>
      <c r="P786" s="3" t="n">
        <v>80.3</v>
      </c>
    </row>
    <row r="787" customFormat="false" ht="15" hidden="false" customHeight="false" outlineLevel="0" collapsed="false">
      <c r="A787" s="3" t="s">
        <v>819</v>
      </c>
      <c r="B787" s="4" t="n">
        <v>45730</v>
      </c>
      <c r="C787" s="3" t="s">
        <v>724</v>
      </c>
      <c r="D787" s="3" t="s">
        <v>18</v>
      </c>
      <c r="E787" s="3" t="s">
        <v>19</v>
      </c>
      <c r="F787" s="3" t="s">
        <v>25</v>
      </c>
      <c r="G787" s="3" t="s">
        <v>26</v>
      </c>
      <c r="H787" s="3" t="n">
        <v>1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/>
      <c r="P787" s="3" t="n">
        <v>55.7</v>
      </c>
    </row>
    <row r="788" customFormat="false" ht="15" hidden="false" customHeight="false" outlineLevel="0" collapsed="false">
      <c r="A788" s="3" t="s">
        <v>820</v>
      </c>
      <c r="B788" s="4" t="n">
        <v>45768</v>
      </c>
      <c r="C788" s="3" t="s">
        <v>724</v>
      </c>
      <c r="D788" s="3" t="s">
        <v>18</v>
      </c>
      <c r="E788" s="3" t="s">
        <v>24</v>
      </c>
      <c r="F788" s="3" t="s">
        <v>25</v>
      </c>
      <c r="G788" s="3" t="s">
        <v>26</v>
      </c>
      <c r="H788" s="3" t="n">
        <v>1</v>
      </c>
      <c r="I788" s="3" t="n">
        <v>1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0</v>
      </c>
      <c r="O788" s="3"/>
      <c r="P788" s="3" t="n">
        <v>84.9</v>
      </c>
    </row>
    <row r="789" customFormat="false" ht="15" hidden="false" customHeight="false" outlineLevel="0" collapsed="false">
      <c r="A789" s="3" t="s">
        <v>821</v>
      </c>
      <c r="B789" s="4" t="n">
        <v>45702</v>
      </c>
      <c r="C789" s="3" t="s">
        <v>724</v>
      </c>
      <c r="D789" s="3" t="s">
        <v>18</v>
      </c>
      <c r="E789" s="3" t="s">
        <v>24</v>
      </c>
      <c r="F789" s="3" t="s">
        <v>25</v>
      </c>
      <c r="G789" s="3" t="s">
        <v>26</v>
      </c>
      <c r="H789" s="3" t="n">
        <v>1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/>
      <c r="P789" s="3" t="n">
        <v>63.3</v>
      </c>
    </row>
    <row r="790" customFormat="false" ht="15" hidden="false" customHeight="false" outlineLevel="0" collapsed="false">
      <c r="A790" s="3" t="s">
        <v>822</v>
      </c>
      <c r="B790" s="4" t="n">
        <v>45807</v>
      </c>
      <c r="C790" s="3" t="s">
        <v>724</v>
      </c>
      <c r="D790" s="3" t="s">
        <v>23</v>
      </c>
      <c r="E790" s="3" t="s">
        <v>24</v>
      </c>
      <c r="F790" s="3" t="s">
        <v>25</v>
      </c>
      <c r="G790" s="3" t="s">
        <v>26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/>
      <c r="P790" s="3" t="n">
        <v>53.1</v>
      </c>
    </row>
    <row r="791" customFormat="false" ht="15" hidden="false" customHeight="false" outlineLevel="0" collapsed="false">
      <c r="A791" s="3" t="s">
        <v>823</v>
      </c>
      <c r="B791" s="4" t="n">
        <v>45677</v>
      </c>
      <c r="C791" s="3" t="s">
        <v>724</v>
      </c>
      <c r="D791" s="3" t="s">
        <v>23</v>
      </c>
      <c r="E791" s="3" t="s">
        <v>24</v>
      </c>
      <c r="F791" s="3" t="s">
        <v>25</v>
      </c>
      <c r="G791" s="3" t="s">
        <v>26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/>
      <c r="P791" s="3" t="n">
        <v>66</v>
      </c>
    </row>
    <row r="792" customFormat="false" ht="15" hidden="false" customHeight="false" outlineLevel="0" collapsed="false">
      <c r="A792" s="3" t="s">
        <v>824</v>
      </c>
      <c r="B792" s="4" t="n">
        <v>45733</v>
      </c>
      <c r="C792" s="3" t="s">
        <v>724</v>
      </c>
      <c r="D792" s="3" t="s">
        <v>23</v>
      </c>
      <c r="E792" s="3" t="s">
        <v>24</v>
      </c>
      <c r="F792" s="3" t="s">
        <v>41</v>
      </c>
      <c r="G792" s="3" t="s">
        <v>30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/>
      <c r="P792" s="3" t="n">
        <v>54.7</v>
      </c>
    </row>
    <row r="793" customFormat="false" ht="15" hidden="false" customHeight="false" outlineLevel="0" collapsed="false">
      <c r="A793" s="3" t="s">
        <v>825</v>
      </c>
      <c r="B793" s="4" t="n">
        <v>45720</v>
      </c>
      <c r="C793" s="3" t="s">
        <v>724</v>
      </c>
      <c r="D793" s="3" t="s">
        <v>23</v>
      </c>
      <c r="E793" s="3" t="s">
        <v>24</v>
      </c>
      <c r="F793" s="3" t="s">
        <v>41</v>
      </c>
      <c r="G793" s="3" t="s">
        <v>26</v>
      </c>
      <c r="H793" s="3" t="n">
        <v>1</v>
      </c>
      <c r="I793" s="3" t="n">
        <v>1</v>
      </c>
      <c r="J793" s="3" t="n">
        <v>0</v>
      </c>
      <c r="K793" s="3" t="n">
        <v>0</v>
      </c>
      <c r="L793" s="3" t="n">
        <v>0</v>
      </c>
      <c r="M793" s="3" t="n">
        <v>1</v>
      </c>
      <c r="N793" s="3" t="n">
        <v>0</v>
      </c>
      <c r="O793" s="3"/>
      <c r="P793" s="3" t="n">
        <v>41.2</v>
      </c>
    </row>
    <row r="794" customFormat="false" ht="15" hidden="false" customHeight="false" outlineLevel="0" collapsed="false">
      <c r="A794" s="3" t="s">
        <v>826</v>
      </c>
      <c r="B794" s="4" t="n">
        <v>45710</v>
      </c>
      <c r="C794" s="3" t="s">
        <v>724</v>
      </c>
      <c r="D794" s="3" t="s">
        <v>32</v>
      </c>
      <c r="E794" s="3" t="s">
        <v>24</v>
      </c>
      <c r="F794" s="3" t="s">
        <v>25</v>
      </c>
      <c r="G794" s="3" t="s">
        <v>30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/>
      <c r="P794" s="3" t="n">
        <v>66.7</v>
      </c>
    </row>
    <row r="795" customFormat="false" ht="15" hidden="false" customHeight="false" outlineLevel="0" collapsed="false">
      <c r="A795" s="3" t="s">
        <v>827</v>
      </c>
      <c r="B795" s="4" t="n">
        <v>45779</v>
      </c>
      <c r="C795" s="3" t="s">
        <v>724</v>
      </c>
      <c r="D795" s="3" t="s">
        <v>18</v>
      </c>
      <c r="E795" s="3" t="s">
        <v>24</v>
      </c>
      <c r="F795" s="3" t="s">
        <v>29</v>
      </c>
      <c r="G795" s="3" t="s">
        <v>30</v>
      </c>
      <c r="H795" s="3" t="n">
        <v>0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0</v>
      </c>
      <c r="O795" s="3"/>
      <c r="P795" s="3" t="n">
        <v>39.4</v>
      </c>
    </row>
    <row r="796" customFormat="false" ht="15" hidden="false" customHeight="false" outlineLevel="0" collapsed="false">
      <c r="A796" s="3" t="s">
        <v>828</v>
      </c>
      <c r="B796" s="4" t="n">
        <v>45729</v>
      </c>
      <c r="C796" s="3" t="s">
        <v>724</v>
      </c>
      <c r="D796" s="3" t="s">
        <v>23</v>
      </c>
      <c r="E796" s="3" t="s">
        <v>19</v>
      </c>
      <c r="F796" s="3" t="s">
        <v>25</v>
      </c>
      <c r="G796" s="3" t="s">
        <v>30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3</v>
      </c>
      <c r="N796" s="3" t="n">
        <v>0</v>
      </c>
      <c r="O796" s="3"/>
      <c r="P796" s="3" t="n">
        <v>67</v>
      </c>
    </row>
    <row r="797" customFormat="false" ht="15" hidden="false" customHeight="false" outlineLevel="0" collapsed="false">
      <c r="A797" s="3" t="s">
        <v>829</v>
      </c>
      <c r="B797" s="4" t="n">
        <v>45808</v>
      </c>
      <c r="C797" s="3" t="s">
        <v>724</v>
      </c>
      <c r="D797" s="3" t="s">
        <v>32</v>
      </c>
      <c r="E797" s="3" t="s">
        <v>24</v>
      </c>
      <c r="F797" s="3" t="s">
        <v>25</v>
      </c>
      <c r="G797" s="3" t="s">
        <v>21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0</v>
      </c>
      <c r="O797" s="3"/>
      <c r="P797" s="3" t="n">
        <v>50.4</v>
      </c>
    </row>
    <row r="798" customFormat="false" ht="15" hidden="false" customHeight="false" outlineLevel="0" collapsed="false">
      <c r="A798" s="3" t="s">
        <v>830</v>
      </c>
      <c r="B798" s="4" t="n">
        <v>45723</v>
      </c>
      <c r="C798" s="3" t="s">
        <v>724</v>
      </c>
      <c r="D798" s="3" t="s">
        <v>23</v>
      </c>
      <c r="E798" s="3" t="s">
        <v>19</v>
      </c>
      <c r="F798" s="3" t="s">
        <v>41</v>
      </c>
      <c r="G798" s="3" t="s">
        <v>26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0</v>
      </c>
      <c r="O798" s="3"/>
      <c r="P798" s="3" t="n">
        <v>53.8</v>
      </c>
    </row>
    <row r="799" customFormat="false" ht="15" hidden="false" customHeight="false" outlineLevel="0" collapsed="false">
      <c r="A799" s="3" t="s">
        <v>831</v>
      </c>
      <c r="B799" s="4" t="n">
        <v>45710</v>
      </c>
      <c r="C799" s="3" t="s">
        <v>724</v>
      </c>
      <c r="D799" s="3" t="s">
        <v>23</v>
      </c>
      <c r="E799" s="3" t="s">
        <v>24</v>
      </c>
      <c r="F799" s="3" t="s">
        <v>29</v>
      </c>
      <c r="G799" s="3" t="s">
        <v>21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</v>
      </c>
      <c r="N799" s="3" t="n">
        <v>0</v>
      </c>
      <c r="O799" s="3"/>
      <c r="P799" s="3" t="n">
        <v>82.7</v>
      </c>
    </row>
    <row r="800" customFormat="false" ht="15" hidden="false" customHeight="false" outlineLevel="0" collapsed="false">
      <c r="A800" s="3" t="s">
        <v>832</v>
      </c>
      <c r="B800" s="4" t="n">
        <v>45662</v>
      </c>
      <c r="C800" s="3" t="s">
        <v>724</v>
      </c>
      <c r="D800" s="3" t="s">
        <v>23</v>
      </c>
      <c r="E800" s="3" t="s">
        <v>19</v>
      </c>
      <c r="F800" s="3" t="s">
        <v>29</v>
      </c>
      <c r="G800" s="3" t="s">
        <v>26</v>
      </c>
      <c r="H800" s="3" t="n">
        <v>1</v>
      </c>
      <c r="I800" s="3" t="n">
        <v>1</v>
      </c>
      <c r="J800" s="3" t="n">
        <v>1</v>
      </c>
      <c r="K800" s="3" t="n">
        <v>0</v>
      </c>
      <c r="L800" s="3" t="n">
        <v>0</v>
      </c>
      <c r="M800" s="3" t="n">
        <v>0</v>
      </c>
      <c r="N800" s="3" t="n">
        <v>0</v>
      </c>
      <c r="O800" s="3"/>
      <c r="P800" s="3" t="n">
        <v>63.9</v>
      </c>
    </row>
    <row r="801" customFormat="false" ht="15" hidden="false" customHeight="false" outlineLevel="0" collapsed="false">
      <c r="A801" s="3" t="s">
        <v>833</v>
      </c>
      <c r="B801" s="4" t="n">
        <v>45678</v>
      </c>
      <c r="C801" s="3" t="s">
        <v>724</v>
      </c>
      <c r="D801" s="3" t="s">
        <v>23</v>
      </c>
      <c r="E801" s="3" t="s">
        <v>24</v>
      </c>
      <c r="F801" s="3" t="s">
        <v>39</v>
      </c>
      <c r="G801" s="3" t="s">
        <v>26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0</v>
      </c>
      <c r="O801" s="3"/>
      <c r="P801" s="3" t="n">
        <v>61.9</v>
      </c>
    </row>
    <row r="802" customFormat="false" ht="15" hidden="false" customHeight="false" outlineLevel="0" collapsed="false">
      <c r="A802" s="3" t="s">
        <v>834</v>
      </c>
      <c r="B802" s="4" t="n">
        <v>45682</v>
      </c>
      <c r="C802" s="3" t="s">
        <v>724</v>
      </c>
      <c r="D802" s="3" t="s">
        <v>18</v>
      </c>
      <c r="E802" s="3" t="s">
        <v>19</v>
      </c>
      <c r="F802" s="3" t="s">
        <v>41</v>
      </c>
      <c r="G802" s="3" t="s">
        <v>26</v>
      </c>
      <c r="H802" s="3" t="n">
        <v>1</v>
      </c>
      <c r="I802" s="3" t="n">
        <v>1</v>
      </c>
      <c r="J802" s="3" t="n">
        <v>1</v>
      </c>
      <c r="K802" s="3" t="n">
        <v>0</v>
      </c>
      <c r="L802" s="3" t="n">
        <v>0</v>
      </c>
      <c r="M802" s="3" t="n">
        <v>0</v>
      </c>
      <c r="N802" s="3" t="n">
        <v>0</v>
      </c>
      <c r="O802" s="3"/>
      <c r="P802" s="3" t="n">
        <v>75</v>
      </c>
    </row>
    <row r="803" customFormat="false" ht="15" hidden="false" customHeight="false" outlineLevel="0" collapsed="false">
      <c r="A803" s="3" t="s">
        <v>835</v>
      </c>
      <c r="B803" s="4" t="n">
        <v>45751</v>
      </c>
      <c r="C803" s="3" t="s">
        <v>724</v>
      </c>
      <c r="D803" s="3" t="s">
        <v>23</v>
      </c>
      <c r="E803" s="3" t="s">
        <v>24</v>
      </c>
      <c r="F803" s="3" t="s">
        <v>29</v>
      </c>
      <c r="G803" s="3" t="s">
        <v>21</v>
      </c>
      <c r="H803" s="3" t="n">
        <v>1</v>
      </c>
      <c r="I803" s="3" t="n">
        <v>1</v>
      </c>
      <c r="J803" s="3" t="n">
        <v>1</v>
      </c>
      <c r="K803" s="3" t="n">
        <v>0</v>
      </c>
      <c r="L803" s="3" t="n">
        <v>0</v>
      </c>
      <c r="M803" s="3" t="n">
        <v>0</v>
      </c>
      <c r="N803" s="3" t="n">
        <v>0</v>
      </c>
      <c r="O803" s="3"/>
      <c r="P803" s="3" t="n">
        <v>43</v>
      </c>
    </row>
    <row r="804" customFormat="false" ht="15" hidden="false" customHeight="false" outlineLevel="0" collapsed="false">
      <c r="A804" s="3" t="s">
        <v>836</v>
      </c>
      <c r="B804" s="4" t="n">
        <v>45741</v>
      </c>
      <c r="C804" s="3" t="s">
        <v>724</v>
      </c>
      <c r="D804" s="3" t="s">
        <v>18</v>
      </c>
      <c r="E804" s="3" t="s">
        <v>19</v>
      </c>
      <c r="F804" s="3" t="s">
        <v>41</v>
      </c>
      <c r="G804" s="3" t="s">
        <v>30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/>
      <c r="P804" s="3" t="n">
        <v>54.3</v>
      </c>
    </row>
    <row r="805" customFormat="false" ht="15" hidden="false" customHeight="false" outlineLevel="0" collapsed="false">
      <c r="A805" s="3" t="s">
        <v>837</v>
      </c>
      <c r="B805" s="4" t="n">
        <v>45735</v>
      </c>
      <c r="C805" s="3" t="s">
        <v>724</v>
      </c>
      <c r="D805" s="3" t="s">
        <v>23</v>
      </c>
      <c r="E805" s="3" t="s">
        <v>24</v>
      </c>
      <c r="F805" s="3" t="s">
        <v>41</v>
      </c>
      <c r="G805" s="3" t="s">
        <v>26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2</v>
      </c>
      <c r="N805" s="3" t="n">
        <v>0</v>
      </c>
      <c r="O805" s="3"/>
      <c r="P805" s="3" t="n">
        <v>44.3</v>
      </c>
    </row>
    <row r="806" customFormat="false" ht="15" hidden="false" customHeight="false" outlineLevel="0" collapsed="false">
      <c r="A806" s="3" t="s">
        <v>838</v>
      </c>
      <c r="B806" s="4" t="n">
        <v>45771</v>
      </c>
      <c r="C806" s="3" t="s">
        <v>724</v>
      </c>
      <c r="D806" s="3" t="s">
        <v>23</v>
      </c>
      <c r="E806" s="3" t="s">
        <v>19</v>
      </c>
      <c r="F806" s="3" t="s">
        <v>25</v>
      </c>
      <c r="G806" s="3" t="s">
        <v>26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402.88</v>
      </c>
      <c r="M806" s="3" t="n">
        <v>0</v>
      </c>
      <c r="N806" s="3" t="n">
        <v>0</v>
      </c>
      <c r="O806" s="3" t="n">
        <v>12</v>
      </c>
      <c r="P806" s="3" t="n">
        <v>76</v>
      </c>
    </row>
    <row r="807" customFormat="false" ht="15" hidden="false" customHeight="false" outlineLevel="0" collapsed="false">
      <c r="A807" s="3" t="s">
        <v>839</v>
      </c>
      <c r="B807" s="4" t="n">
        <v>45751</v>
      </c>
      <c r="C807" s="3" t="s">
        <v>724</v>
      </c>
      <c r="D807" s="3" t="s">
        <v>32</v>
      </c>
      <c r="E807" s="3" t="s">
        <v>34</v>
      </c>
      <c r="F807" s="3" t="s">
        <v>25</v>
      </c>
      <c r="G807" s="3" t="s">
        <v>26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2</v>
      </c>
      <c r="N807" s="3" t="n">
        <v>0</v>
      </c>
      <c r="O807" s="3"/>
      <c r="P807" s="3" t="n">
        <v>65.3</v>
      </c>
    </row>
    <row r="808" customFormat="false" ht="15" hidden="false" customHeight="false" outlineLevel="0" collapsed="false">
      <c r="A808" s="3" t="s">
        <v>840</v>
      </c>
      <c r="B808" s="4" t="n">
        <v>45744</v>
      </c>
      <c r="C808" s="3" t="s">
        <v>724</v>
      </c>
      <c r="D808" s="3" t="s">
        <v>32</v>
      </c>
      <c r="E808" s="3" t="s">
        <v>19</v>
      </c>
      <c r="F808" s="3" t="s">
        <v>29</v>
      </c>
      <c r="G808" s="3" t="s">
        <v>30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/>
      <c r="P808" s="3" t="n">
        <v>71.2</v>
      </c>
    </row>
    <row r="809" customFormat="false" ht="15" hidden="false" customHeight="false" outlineLevel="0" collapsed="false">
      <c r="A809" s="3" t="s">
        <v>841</v>
      </c>
      <c r="B809" s="4" t="n">
        <v>45792</v>
      </c>
      <c r="C809" s="3" t="s">
        <v>724</v>
      </c>
      <c r="D809" s="3" t="s">
        <v>32</v>
      </c>
      <c r="E809" s="3" t="s">
        <v>34</v>
      </c>
      <c r="F809" s="3" t="s">
        <v>29</v>
      </c>
      <c r="G809" s="3" t="s">
        <v>26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0</v>
      </c>
      <c r="O809" s="3"/>
      <c r="P809" s="3" t="n">
        <v>77.9</v>
      </c>
    </row>
    <row r="810" customFormat="false" ht="15" hidden="false" customHeight="false" outlineLevel="0" collapsed="false">
      <c r="A810" s="3" t="s">
        <v>842</v>
      </c>
      <c r="B810" s="4" t="n">
        <v>45729</v>
      </c>
      <c r="C810" s="3" t="s">
        <v>724</v>
      </c>
      <c r="D810" s="3" t="s">
        <v>23</v>
      </c>
      <c r="E810" s="3" t="s">
        <v>24</v>
      </c>
      <c r="F810" s="3" t="s">
        <v>29</v>
      </c>
      <c r="G810" s="3" t="s">
        <v>26</v>
      </c>
      <c r="H810" s="3" t="n">
        <v>0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0</v>
      </c>
      <c r="O810" s="3"/>
      <c r="P810" s="3" t="n">
        <v>48.6</v>
      </c>
    </row>
    <row r="811" customFormat="false" ht="15" hidden="false" customHeight="false" outlineLevel="0" collapsed="false">
      <c r="A811" s="3" t="s">
        <v>843</v>
      </c>
      <c r="B811" s="4" t="n">
        <v>45742</v>
      </c>
      <c r="C811" s="3" t="s">
        <v>724</v>
      </c>
      <c r="D811" s="3" t="s">
        <v>18</v>
      </c>
      <c r="E811" s="3" t="s">
        <v>24</v>
      </c>
      <c r="F811" s="3" t="s">
        <v>41</v>
      </c>
      <c r="G811" s="3" t="s">
        <v>30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/>
      <c r="P811" s="3" t="n">
        <v>61.9</v>
      </c>
    </row>
    <row r="812" customFormat="false" ht="15" hidden="false" customHeight="false" outlineLevel="0" collapsed="false">
      <c r="A812" s="3" t="s">
        <v>844</v>
      </c>
      <c r="B812" s="4" t="n">
        <v>45666</v>
      </c>
      <c r="C812" s="3" t="s">
        <v>724</v>
      </c>
      <c r="D812" s="3" t="s">
        <v>18</v>
      </c>
      <c r="E812" s="3" t="s">
        <v>24</v>
      </c>
      <c r="F812" s="3" t="s">
        <v>41</v>
      </c>
      <c r="G812" s="3" t="s">
        <v>21</v>
      </c>
      <c r="H812" s="3" t="n">
        <v>0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</v>
      </c>
      <c r="N812" s="3" t="n">
        <v>0</v>
      </c>
      <c r="O812" s="3"/>
      <c r="P812" s="3" t="n">
        <v>58.7</v>
      </c>
    </row>
    <row r="813" customFormat="false" ht="15" hidden="false" customHeight="false" outlineLevel="0" collapsed="false">
      <c r="A813" s="3" t="s">
        <v>845</v>
      </c>
      <c r="B813" s="4" t="n">
        <v>45783</v>
      </c>
      <c r="C813" s="3" t="s">
        <v>724</v>
      </c>
      <c r="D813" s="3" t="s">
        <v>32</v>
      </c>
      <c r="E813" s="3" t="s">
        <v>19</v>
      </c>
      <c r="F813" s="3" t="s">
        <v>29</v>
      </c>
      <c r="G813" s="3" t="s">
        <v>26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/>
      <c r="P813" s="3" t="n">
        <v>69.6</v>
      </c>
    </row>
    <row r="814" customFormat="false" ht="15" hidden="false" customHeight="false" outlineLevel="0" collapsed="false">
      <c r="A814" s="3" t="s">
        <v>846</v>
      </c>
      <c r="B814" s="4" t="n">
        <v>45705</v>
      </c>
      <c r="C814" s="3" t="s">
        <v>724</v>
      </c>
      <c r="D814" s="3" t="s">
        <v>32</v>
      </c>
      <c r="E814" s="3" t="s">
        <v>24</v>
      </c>
      <c r="F814" s="3" t="s">
        <v>25</v>
      </c>
      <c r="G814" s="3" t="s">
        <v>26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/>
      <c r="P814" s="3" t="n">
        <v>51.5</v>
      </c>
    </row>
    <row r="815" customFormat="false" ht="15" hidden="false" customHeight="false" outlineLevel="0" collapsed="false">
      <c r="A815" s="3" t="s">
        <v>847</v>
      </c>
      <c r="B815" s="4" t="n">
        <v>45752</v>
      </c>
      <c r="C815" s="3" t="s">
        <v>724</v>
      </c>
      <c r="D815" s="3" t="s">
        <v>28</v>
      </c>
      <c r="E815" s="3" t="s">
        <v>24</v>
      </c>
      <c r="F815" s="3" t="s">
        <v>29</v>
      </c>
      <c r="G815" s="3" t="s">
        <v>26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277.69</v>
      </c>
      <c r="M815" s="3" t="n">
        <v>3</v>
      </c>
      <c r="N815" s="3" t="n">
        <v>0</v>
      </c>
      <c r="O815" s="3" t="n">
        <v>8</v>
      </c>
      <c r="P815" s="3" t="n">
        <v>46</v>
      </c>
    </row>
    <row r="816" customFormat="false" ht="15" hidden="false" customHeight="false" outlineLevel="0" collapsed="false">
      <c r="A816" s="3" t="s">
        <v>848</v>
      </c>
      <c r="B816" s="4" t="n">
        <v>45760</v>
      </c>
      <c r="C816" s="3" t="s">
        <v>724</v>
      </c>
      <c r="D816" s="3" t="s">
        <v>23</v>
      </c>
      <c r="E816" s="3" t="s">
        <v>34</v>
      </c>
      <c r="F816" s="3" t="s">
        <v>25</v>
      </c>
      <c r="G816" s="3" t="s">
        <v>26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/>
      <c r="P816" s="3" t="n">
        <v>81.7</v>
      </c>
    </row>
    <row r="817" customFormat="false" ht="15" hidden="false" customHeight="false" outlineLevel="0" collapsed="false">
      <c r="A817" s="3" t="s">
        <v>849</v>
      </c>
      <c r="B817" s="4" t="n">
        <v>45797</v>
      </c>
      <c r="C817" s="3" t="s">
        <v>724</v>
      </c>
      <c r="D817" s="3" t="s">
        <v>28</v>
      </c>
      <c r="E817" s="3" t="s">
        <v>19</v>
      </c>
      <c r="F817" s="3" t="s">
        <v>39</v>
      </c>
      <c r="G817" s="3" t="s">
        <v>26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/>
      <c r="P817" s="3" t="n">
        <v>48.3</v>
      </c>
    </row>
    <row r="818" customFormat="false" ht="15" hidden="false" customHeight="false" outlineLevel="0" collapsed="false">
      <c r="A818" s="3" t="s">
        <v>850</v>
      </c>
      <c r="B818" s="4" t="n">
        <v>45747</v>
      </c>
      <c r="C818" s="3" t="s">
        <v>724</v>
      </c>
      <c r="D818" s="3" t="s">
        <v>28</v>
      </c>
      <c r="E818" s="3" t="s">
        <v>24</v>
      </c>
      <c r="F818" s="3" t="s">
        <v>20</v>
      </c>
      <c r="G818" s="3" t="s">
        <v>26</v>
      </c>
      <c r="H818" s="3" t="n">
        <v>1</v>
      </c>
      <c r="I818" s="3" t="n">
        <v>1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/>
      <c r="P818" s="3" t="n">
        <v>85.6</v>
      </c>
    </row>
    <row r="819" customFormat="false" ht="15" hidden="false" customHeight="false" outlineLevel="0" collapsed="false">
      <c r="A819" s="3" t="s">
        <v>851</v>
      </c>
      <c r="B819" s="4" t="n">
        <v>45750</v>
      </c>
      <c r="C819" s="3" t="s">
        <v>724</v>
      </c>
      <c r="D819" s="3" t="s">
        <v>23</v>
      </c>
      <c r="E819" s="3" t="s">
        <v>34</v>
      </c>
      <c r="F819" s="3" t="s">
        <v>29</v>
      </c>
      <c r="G819" s="3" t="s">
        <v>21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0</v>
      </c>
      <c r="O819" s="3"/>
      <c r="P819" s="3" t="n">
        <v>53.8</v>
      </c>
    </row>
    <row r="820" customFormat="false" ht="15" hidden="false" customHeight="false" outlineLevel="0" collapsed="false">
      <c r="A820" s="3" t="s">
        <v>852</v>
      </c>
      <c r="B820" s="4" t="n">
        <v>45692</v>
      </c>
      <c r="C820" s="3" t="s">
        <v>724</v>
      </c>
      <c r="D820" s="3" t="s">
        <v>32</v>
      </c>
      <c r="E820" s="3" t="s">
        <v>24</v>
      </c>
      <c r="F820" s="3" t="s">
        <v>25</v>
      </c>
      <c r="G820" s="3" t="s">
        <v>26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460.83</v>
      </c>
      <c r="M820" s="3" t="n">
        <v>2</v>
      </c>
      <c r="N820" s="3" t="n">
        <v>0</v>
      </c>
      <c r="O820" s="3" t="n">
        <v>0</v>
      </c>
      <c r="P820" s="3" t="n">
        <v>69.7</v>
      </c>
    </row>
    <row r="821" customFormat="false" ht="15" hidden="false" customHeight="false" outlineLevel="0" collapsed="false">
      <c r="A821" s="3" t="s">
        <v>853</v>
      </c>
      <c r="B821" s="4" t="n">
        <v>45796</v>
      </c>
      <c r="C821" s="3" t="s">
        <v>724</v>
      </c>
      <c r="D821" s="3" t="s">
        <v>28</v>
      </c>
      <c r="E821" s="3" t="s">
        <v>24</v>
      </c>
      <c r="F821" s="3" t="s">
        <v>25</v>
      </c>
      <c r="G821" s="3" t="s">
        <v>26</v>
      </c>
      <c r="H821" s="3" t="n">
        <v>1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0</v>
      </c>
      <c r="O821" s="3"/>
      <c r="P821" s="3" t="n">
        <v>74.8</v>
      </c>
    </row>
    <row r="822" customFormat="false" ht="15" hidden="false" customHeight="false" outlineLevel="0" collapsed="false">
      <c r="A822" s="3" t="s">
        <v>854</v>
      </c>
      <c r="B822" s="4" t="n">
        <v>45724</v>
      </c>
      <c r="C822" s="3" t="s">
        <v>724</v>
      </c>
      <c r="D822" s="3" t="s">
        <v>28</v>
      </c>
      <c r="E822" s="3" t="s">
        <v>19</v>
      </c>
      <c r="F822" s="3" t="s">
        <v>29</v>
      </c>
      <c r="G822" s="3" t="s">
        <v>21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0</v>
      </c>
      <c r="O822" s="3"/>
      <c r="P822" s="3" t="n">
        <v>87.9</v>
      </c>
    </row>
    <row r="823" customFormat="false" ht="15" hidden="false" customHeight="false" outlineLevel="0" collapsed="false">
      <c r="A823" s="3" t="s">
        <v>855</v>
      </c>
      <c r="B823" s="4" t="n">
        <v>45787</v>
      </c>
      <c r="C823" s="3" t="s">
        <v>724</v>
      </c>
      <c r="D823" s="3" t="s">
        <v>18</v>
      </c>
      <c r="E823" s="3" t="s">
        <v>24</v>
      </c>
      <c r="F823" s="3" t="s">
        <v>41</v>
      </c>
      <c r="G823" s="3" t="s">
        <v>21</v>
      </c>
      <c r="H823" s="3" t="n">
        <v>1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1</v>
      </c>
      <c r="N823" s="3" t="n">
        <v>0</v>
      </c>
      <c r="O823" s="3"/>
      <c r="P823" s="3" t="n">
        <v>49.1</v>
      </c>
    </row>
    <row r="824" customFormat="false" ht="15" hidden="false" customHeight="false" outlineLevel="0" collapsed="false">
      <c r="A824" s="3" t="s">
        <v>856</v>
      </c>
      <c r="B824" s="4" t="n">
        <v>45659</v>
      </c>
      <c r="C824" s="3" t="s">
        <v>724</v>
      </c>
      <c r="D824" s="3" t="s">
        <v>28</v>
      </c>
      <c r="E824" s="3" t="s">
        <v>19</v>
      </c>
      <c r="F824" s="3" t="s">
        <v>41</v>
      </c>
      <c r="G824" s="3" t="s">
        <v>21</v>
      </c>
      <c r="H824" s="3" t="n">
        <v>1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2</v>
      </c>
      <c r="N824" s="3" t="n">
        <v>0</v>
      </c>
      <c r="O824" s="3"/>
      <c r="P824" s="3" t="n">
        <v>73</v>
      </c>
    </row>
    <row r="825" customFormat="false" ht="15" hidden="false" customHeight="false" outlineLevel="0" collapsed="false">
      <c r="A825" s="3" t="s">
        <v>857</v>
      </c>
      <c r="B825" s="4" t="n">
        <v>45674</v>
      </c>
      <c r="C825" s="3" t="s">
        <v>724</v>
      </c>
      <c r="D825" s="3" t="s">
        <v>23</v>
      </c>
      <c r="E825" s="3" t="s">
        <v>24</v>
      </c>
      <c r="F825" s="3" t="s">
        <v>25</v>
      </c>
      <c r="G825" s="3" t="s">
        <v>21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/>
      <c r="P825" s="3" t="n">
        <v>79.5</v>
      </c>
    </row>
    <row r="826" customFormat="false" ht="15" hidden="false" customHeight="false" outlineLevel="0" collapsed="false">
      <c r="A826" s="3" t="s">
        <v>858</v>
      </c>
      <c r="B826" s="4" t="n">
        <v>45798</v>
      </c>
      <c r="C826" s="3" t="s">
        <v>724</v>
      </c>
      <c r="D826" s="3" t="s">
        <v>23</v>
      </c>
      <c r="E826" s="3" t="s">
        <v>24</v>
      </c>
      <c r="F826" s="3" t="s">
        <v>39</v>
      </c>
      <c r="G826" s="3" t="s">
        <v>21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782.23</v>
      </c>
      <c r="M826" s="3" t="n">
        <v>1</v>
      </c>
      <c r="N826" s="3" t="n">
        <v>0</v>
      </c>
      <c r="O826" s="3" t="n">
        <v>6</v>
      </c>
      <c r="P826" s="3" t="n">
        <v>93.2</v>
      </c>
    </row>
    <row r="827" customFormat="false" ht="15" hidden="false" customHeight="false" outlineLevel="0" collapsed="false">
      <c r="A827" s="3" t="s">
        <v>859</v>
      </c>
      <c r="B827" s="4" t="n">
        <v>45802</v>
      </c>
      <c r="C827" s="3" t="s">
        <v>724</v>
      </c>
      <c r="D827" s="3" t="s">
        <v>28</v>
      </c>
      <c r="E827" s="3" t="s">
        <v>19</v>
      </c>
      <c r="F827" s="3" t="s">
        <v>39</v>
      </c>
      <c r="G827" s="3" t="s">
        <v>26</v>
      </c>
      <c r="H827" s="3" t="n">
        <v>1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3</v>
      </c>
      <c r="N827" s="3" t="n">
        <v>0</v>
      </c>
      <c r="O827" s="3"/>
      <c r="P827" s="3" t="n">
        <v>77.5</v>
      </c>
    </row>
    <row r="828" customFormat="false" ht="15" hidden="false" customHeight="false" outlineLevel="0" collapsed="false">
      <c r="A828" s="3" t="s">
        <v>860</v>
      </c>
      <c r="B828" s="4" t="n">
        <v>45662</v>
      </c>
      <c r="C828" s="3" t="s">
        <v>724</v>
      </c>
      <c r="D828" s="3" t="s">
        <v>23</v>
      </c>
      <c r="E828" s="3" t="s">
        <v>24</v>
      </c>
      <c r="F828" s="3" t="s">
        <v>20</v>
      </c>
      <c r="G828" s="3" t="s">
        <v>21</v>
      </c>
      <c r="H828" s="3" t="n">
        <v>1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/>
      <c r="P828" s="3" t="n">
        <v>61</v>
      </c>
    </row>
    <row r="829" customFormat="false" ht="15" hidden="false" customHeight="false" outlineLevel="0" collapsed="false">
      <c r="A829" s="3" t="s">
        <v>861</v>
      </c>
      <c r="B829" s="4" t="n">
        <v>45712</v>
      </c>
      <c r="C829" s="3" t="s">
        <v>724</v>
      </c>
      <c r="D829" s="3" t="s">
        <v>32</v>
      </c>
      <c r="E829" s="3" t="s">
        <v>19</v>
      </c>
      <c r="F829" s="3" t="s">
        <v>25</v>
      </c>
      <c r="G829" s="3" t="s">
        <v>26</v>
      </c>
      <c r="H829" s="3" t="n">
        <v>1</v>
      </c>
      <c r="I829" s="3" t="n">
        <v>1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/>
      <c r="P829" s="3" t="n">
        <v>64.9</v>
      </c>
    </row>
    <row r="830" customFormat="false" ht="15" hidden="false" customHeight="false" outlineLevel="0" collapsed="false">
      <c r="A830" s="3" t="s">
        <v>862</v>
      </c>
      <c r="B830" s="4" t="n">
        <v>45678</v>
      </c>
      <c r="C830" s="3" t="s">
        <v>724</v>
      </c>
      <c r="D830" s="3" t="s">
        <v>28</v>
      </c>
      <c r="E830" s="3" t="s">
        <v>24</v>
      </c>
      <c r="F830" s="3" t="s">
        <v>29</v>
      </c>
      <c r="G830" s="3" t="s">
        <v>21</v>
      </c>
      <c r="H830" s="3" t="n">
        <v>1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/>
      <c r="P830" s="3" t="n">
        <v>87.5</v>
      </c>
    </row>
    <row r="831" customFormat="false" ht="15" hidden="false" customHeight="false" outlineLevel="0" collapsed="false">
      <c r="A831" s="3" t="s">
        <v>863</v>
      </c>
      <c r="B831" s="4" t="n">
        <v>45771</v>
      </c>
      <c r="C831" s="3" t="s">
        <v>724</v>
      </c>
      <c r="D831" s="3" t="s">
        <v>18</v>
      </c>
      <c r="E831" s="3" t="s">
        <v>24</v>
      </c>
      <c r="F831" s="3" t="s">
        <v>25</v>
      </c>
      <c r="G831" s="3" t="s">
        <v>21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1171.99</v>
      </c>
      <c r="M831" s="3" t="n">
        <v>0</v>
      </c>
      <c r="N831" s="3" t="n">
        <v>0</v>
      </c>
      <c r="O831" s="3" t="n">
        <v>5</v>
      </c>
      <c r="P831" s="3" t="n">
        <v>80.6</v>
      </c>
    </row>
    <row r="832" customFormat="false" ht="15" hidden="false" customHeight="false" outlineLevel="0" collapsed="false">
      <c r="A832" s="3" t="s">
        <v>864</v>
      </c>
      <c r="B832" s="4" t="n">
        <v>45664</v>
      </c>
      <c r="C832" s="3" t="s">
        <v>724</v>
      </c>
      <c r="D832" s="3" t="s">
        <v>23</v>
      </c>
      <c r="E832" s="3" t="s">
        <v>19</v>
      </c>
      <c r="F832" s="3" t="s">
        <v>25</v>
      </c>
      <c r="G832" s="3" t="s">
        <v>26</v>
      </c>
      <c r="H832" s="3" t="n">
        <v>1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/>
      <c r="P832" s="3" t="n">
        <v>66.9</v>
      </c>
    </row>
    <row r="833" customFormat="false" ht="15" hidden="false" customHeight="false" outlineLevel="0" collapsed="false">
      <c r="A833" s="3" t="s">
        <v>865</v>
      </c>
      <c r="B833" s="4" t="n">
        <v>45808</v>
      </c>
      <c r="C833" s="3" t="s">
        <v>724</v>
      </c>
      <c r="D833" s="3" t="s">
        <v>32</v>
      </c>
      <c r="E833" s="3" t="s">
        <v>34</v>
      </c>
      <c r="F833" s="3" t="s">
        <v>25</v>
      </c>
      <c r="G833" s="3" t="s">
        <v>21</v>
      </c>
      <c r="H833" s="3" t="n">
        <v>1</v>
      </c>
      <c r="I833" s="3" t="n">
        <v>1</v>
      </c>
      <c r="J833" s="3" t="n">
        <v>1</v>
      </c>
      <c r="K833" s="3" t="n">
        <v>0</v>
      </c>
      <c r="L833" s="3" t="n">
        <v>0</v>
      </c>
      <c r="M833" s="3" t="n">
        <v>0</v>
      </c>
      <c r="N833" s="3" t="n">
        <v>0</v>
      </c>
      <c r="O833" s="3"/>
      <c r="P833" s="3" t="n">
        <v>58.8</v>
      </c>
    </row>
    <row r="834" customFormat="false" ht="15" hidden="false" customHeight="false" outlineLevel="0" collapsed="false">
      <c r="A834" s="3" t="s">
        <v>866</v>
      </c>
      <c r="B834" s="4" t="n">
        <v>45749</v>
      </c>
      <c r="C834" s="3" t="s">
        <v>724</v>
      </c>
      <c r="D834" s="3" t="s">
        <v>18</v>
      </c>
      <c r="E834" s="3" t="s">
        <v>19</v>
      </c>
      <c r="F834" s="3" t="s">
        <v>25</v>
      </c>
      <c r="G834" s="3" t="s">
        <v>21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1010.4</v>
      </c>
      <c r="M834" s="3" t="n">
        <v>0</v>
      </c>
      <c r="N834" s="3" t="n">
        <v>0</v>
      </c>
      <c r="O834" s="3" t="n">
        <v>4</v>
      </c>
      <c r="P834" s="3" t="n">
        <v>42.9</v>
      </c>
    </row>
    <row r="835" customFormat="false" ht="15" hidden="false" customHeight="false" outlineLevel="0" collapsed="false">
      <c r="A835" s="3" t="s">
        <v>867</v>
      </c>
      <c r="B835" s="4" t="n">
        <v>45768</v>
      </c>
      <c r="C835" s="3" t="s">
        <v>724</v>
      </c>
      <c r="D835" s="3" t="s">
        <v>28</v>
      </c>
      <c r="E835" s="3" t="s">
        <v>24</v>
      </c>
      <c r="F835" s="3" t="s">
        <v>25</v>
      </c>
      <c r="G835" s="3" t="s">
        <v>26</v>
      </c>
      <c r="H835" s="3" t="n">
        <v>1</v>
      </c>
      <c r="I835" s="3" t="n">
        <v>1</v>
      </c>
      <c r="J835" s="3" t="n">
        <v>1</v>
      </c>
      <c r="K835" s="3" t="n">
        <v>0</v>
      </c>
      <c r="L835" s="3" t="n">
        <v>0</v>
      </c>
      <c r="M835" s="3" t="n">
        <v>1</v>
      </c>
      <c r="N835" s="3" t="n">
        <v>0</v>
      </c>
      <c r="O835" s="3"/>
      <c r="P835" s="3" t="n">
        <v>60.2</v>
      </c>
    </row>
    <row r="836" customFormat="false" ht="15" hidden="false" customHeight="false" outlineLevel="0" collapsed="false">
      <c r="A836" s="3" t="s">
        <v>868</v>
      </c>
      <c r="B836" s="4" t="n">
        <v>45782</v>
      </c>
      <c r="C836" s="3" t="s">
        <v>724</v>
      </c>
      <c r="D836" s="3" t="s">
        <v>28</v>
      </c>
      <c r="E836" s="3" t="s">
        <v>24</v>
      </c>
      <c r="F836" s="3" t="s">
        <v>29</v>
      </c>
      <c r="G836" s="3" t="s">
        <v>21</v>
      </c>
      <c r="H836" s="3" t="n">
        <v>1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/>
      <c r="P836" s="3" t="n">
        <v>42.7</v>
      </c>
    </row>
    <row r="837" customFormat="false" ht="15" hidden="false" customHeight="false" outlineLevel="0" collapsed="false">
      <c r="A837" s="3" t="s">
        <v>869</v>
      </c>
      <c r="B837" s="4" t="n">
        <v>45663</v>
      </c>
      <c r="C837" s="3" t="s">
        <v>724</v>
      </c>
      <c r="D837" s="3" t="s">
        <v>18</v>
      </c>
      <c r="E837" s="3" t="s">
        <v>19</v>
      </c>
      <c r="F837" s="3" t="s">
        <v>41</v>
      </c>
      <c r="G837" s="3" t="s">
        <v>26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431.27</v>
      </c>
      <c r="M837" s="3" t="n">
        <v>0</v>
      </c>
      <c r="N837" s="3" t="n">
        <v>0</v>
      </c>
      <c r="O837" s="3" t="n">
        <v>7</v>
      </c>
      <c r="P837" s="3" t="n">
        <v>60.8</v>
      </c>
    </row>
    <row r="838" customFormat="false" ht="15" hidden="false" customHeight="false" outlineLevel="0" collapsed="false">
      <c r="A838" s="3" t="s">
        <v>870</v>
      </c>
      <c r="B838" s="4" t="n">
        <v>45771</v>
      </c>
      <c r="C838" s="3" t="s">
        <v>724</v>
      </c>
      <c r="D838" s="3" t="s">
        <v>32</v>
      </c>
      <c r="E838" s="3" t="s">
        <v>24</v>
      </c>
      <c r="F838" s="3" t="s">
        <v>39</v>
      </c>
      <c r="G838" s="3" t="s">
        <v>26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428.8</v>
      </c>
      <c r="M838" s="3" t="n">
        <v>0</v>
      </c>
      <c r="N838" s="3" t="n">
        <v>0</v>
      </c>
      <c r="O838" s="3" t="n">
        <v>9</v>
      </c>
      <c r="P838" s="3" t="n">
        <v>79.3</v>
      </c>
    </row>
    <row r="839" customFormat="false" ht="15" hidden="false" customHeight="false" outlineLevel="0" collapsed="false">
      <c r="A839" s="3" t="s">
        <v>871</v>
      </c>
      <c r="B839" s="4" t="n">
        <v>45768</v>
      </c>
      <c r="C839" s="3" t="s">
        <v>724</v>
      </c>
      <c r="D839" s="3" t="s">
        <v>32</v>
      </c>
      <c r="E839" s="3" t="s">
        <v>24</v>
      </c>
      <c r="F839" s="3" t="s">
        <v>25</v>
      </c>
      <c r="G839" s="3" t="s">
        <v>21</v>
      </c>
      <c r="H839" s="3" t="n">
        <v>1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1</v>
      </c>
      <c r="N839" s="3" t="n">
        <v>0</v>
      </c>
      <c r="O839" s="3"/>
      <c r="P839" s="3" t="n">
        <v>88.6</v>
      </c>
    </row>
    <row r="840" customFormat="false" ht="15" hidden="false" customHeight="false" outlineLevel="0" collapsed="false">
      <c r="A840" s="3" t="s">
        <v>872</v>
      </c>
      <c r="B840" s="4" t="n">
        <v>45697</v>
      </c>
      <c r="C840" s="3" t="s">
        <v>724</v>
      </c>
      <c r="D840" s="3" t="s">
        <v>23</v>
      </c>
      <c r="E840" s="3" t="s">
        <v>24</v>
      </c>
      <c r="F840" s="3" t="s">
        <v>25</v>
      </c>
      <c r="G840" s="3" t="s">
        <v>21</v>
      </c>
      <c r="H840" s="3" t="n">
        <v>1</v>
      </c>
      <c r="I840" s="3" t="n">
        <v>1</v>
      </c>
      <c r="J840" s="3" t="n">
        <v>1</v>
      </c>
      <c r="K840" s="3" t="n">
        <v>0</v>
      </c>
      <c r="L840" s="3" t="n">
        <v>0</v>
      </c>
      <c r="M840" s="3" t="n">
        <v>0</v>
      </c>
      <c r="N840" s="3" t="n">
        <v>0</v>
      </c>
      <c r="O840" s="3"/>
      <c r="P840" s="3" t="n">
        <v>63.1</v>
      </c>
    </row>
    <row r="841" customFormat="false" ht="15" hidden="false" customHeight="false" outlineLevel="0" collapsed="false">
      <c r="A841" s="3" t="s">
        <v>873</v>
      </c>
      <c r="B841" s="4" t="n">
        <v>45666</v>
      </c>
      <c r="C841" s="3" t="s">
        <v>724</v>
      </c>
      <c r="D841" s="3" t="s">
        <v>28</v>
      </c>
      <c r="E841" s="3" t="s">
        <v>24</v>
      </c>
      <c r="F841" s="3" t="s">
        <v>25</v>
      </c>
      <c r="G841" s="3" t="s">
        <v>30</v>
      </c>
      <c r="H841" s="3" t="n">
        <v>1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/>
      <c r="P841" s="3" t="n">
        <v>39.7</v>
      </c>
    </row>
    <row r="842" customFormat="false" ht="15" hidden="false" customHeight="false" outlineLevel="0" collapsed="false">
      <c r="A842" s="3" t="s">
        <v>874</v>
      </c>
      <c r="B842" s="4" t="n">
        <v>45704</v>
      </c>
      <c r="C842" s="3" t="s">
        <v>724</v>
      </c>
      <c r="D842" s="3" t="s">
        <v>18</v>
      </c>
      <c r="E842" s="3" t="s">
        <v>24</v>
      </c>
      <c r="F842" s="3" t="s">
        <v>29</v>
      </c>
      <c r="G842" s="3" t="s">
        <v>21</v>
      </c>
      <c r="H842" s="3" t="n">
        <v>0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0</v>
      </c>
      <c r="O842" s="3"/>
      <c r="P842" s="3" t="n">
        <v>67.2</v>
      </c>
    </row>
    <row r="843" customFormat="false" ht="15" hidden="false" customHeight="false" outlineLevel="0" collapsed="false">
      <c r="A843" s="3" t="s">
        <v>875</v>
      </c>
      <c r="B843" s="4" t="n">
        <v>45709</v>
      </c>
      <c r="C843" s="3" t="s">
        <v>724</v>
      </c>
      <c r="D843" s="3" t="s">
        <v>32</v>
      </c>
      <c r="E843" s="3" t="s">
        <v>24</v>
      </c>
      <c r="F843" s="3" t="s">
        <v>25</v>
      </c>
      <c r="G843" s="3" t="s">
        <v>26</v>
      </c>
      <c r="H843" s="3" t="n">
        <v>1</v>
      </c>
      <c r="I843" s="3" t="n">
        <v>1</v>
      </c>
      <c r="J843" s="3" t="n">
        <v>1</v>
      </c>
      <c r="K843" s="3" t="n">
        <v>0</v>
      </c>
      <c r="L843" s="3" t="n">
        <v>0</v>
      </c>
      <c r="M843" s="3" t="n">
        <v>0</v>
      </c>
      <c r="N843" s="3" t="n">
        <v>0</v>
      </c>
      <c r="O843" s="3"/>
      <c r="P843" s="3" t="n">
        <v>62.3</v>
      </c>
    </row>
    <row r="844" customFormat="false" ht="15" hidden="false" customHeight="false" outlineLevel="0" collapsed="false">
      <c r="A844" s="3" t="s">
        <v>876</v>
      </c>
      <c r="B844" s="4" t="n">
        <v>45696</v>
      </c>
      <c r="C844" s="3" t="s">
        <v>724</v>
      </c>
      <c r="D844" s="3" t="s">
        <v>32</v>
      </c>
      <c r="E844" s="3" t="s">
        <v>24</v>
      </c>
      <c r="F844" s="3" t="s">
        <v>25</v>
      </c>
      <c r="G844" s="3" t="s">
        <v>30</v>
      </c>
      <c r="H844" s="3" t="n">
        <v>1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/>
      <c r="P844" s="3"/>
    </row>
    <row r="845" customFormat="false" ht="15" hidden="false" customHeight="false" outlineLevel="0" collapsed="false">
      <c r="A845" s="3" t="s">
        <v>877</v>
      </c>
      <c r="B845" s="4" t="n">
        <v>45679</v>
      </c>
      <c r="C845" s="3" t="s">
        <v>724</v>
      </c>
      <c r="D845" s="3" t="s">
        <v>32</v>
      </c>
      <c r="E845" s="3" t="s">
        <v>24</v>
      </c>
      <c r="F845" s="3" t="s">
        <v>29</v>
      </c>
      <c r="G845" s="3" t="s">
        <v>30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/>
      <c r="P845" s="3" t="n">
        <v>60.7</v>
      </c>
    </row>
    <row r="846" customFormat="false" ht="15" hidden="false" customHeight="false" outlineLevel="0" collapsed="false">
      <c r="A846" s="3" t="s">
        <v>878</v>
      </c>
      <c r="B846" s="4" t="n">
        <v>45748</v>
      </c>
      <c r="C846" s="3" t="s">
        <v>724</v>
      </c>
      <c r="D846" s="3" t="s">
        <v>23</v>
      </c>
      <c r="E846" s="3" t="s">
        <v>24</v>
      </c>
      <c r="F846" s="3" t="s">
        <v>25</v>
      </c>
      <c r="G846" s="3" t="s">
        <v>21</v>
      </c>
      <c r="H846" s="3" t="n">
        <v>1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0</v>
      </c>
      <c r="O846" s="3"/>
      <c r="P846" s="3" t="n">
        <v>61.5</v>
      </c>
    </row>
    <row r="847" customFormat="false" ht="15" hidden="false" customHeight="false" outlineLevel="0" collapsed="false">
      <c r="A847" s="3" t="s">
        <v>879</v>
      </c>
      <c r="B847" s="4" t="n">
        <v>45678</v>
      </c>
      <c r="C847" s="3" t="s">
        <v>724</v>
      </c>
      <c r="D847" s="3" t="s">
        <v>18</v>
      </c>
      <c r="E847" s="3" t="s">
        <v>24</v>
      </c>
      <c r="F847" s="3" t="s">
        <v>29</v>
      </c>
      <c r="G847" s="3" t="s">
        <v>21</v>
      </c>
      <c r="H847" s="3" t="n">
        <v>1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/>
      <c r="P847" s="3" t="n">
        <v>75</v>
      </c>
    </row>
    <row r="848" customFormat="false" ht="15" hidden="false" customHeight="false" outlineLevel="0" collapsed="false">
      <c r="A848" s="3" t="s">
        <v>880</v>
      </c>
      <c r="B848" s="4" t="n">
        <v>45659</v>
      </c>
      <c r="C848" s="3" t="s">
        <v>724</v>
      </c>
      <c r="D848" s="3" t="s">
        <v>28</v>
      </c>
      <c r="E848" s="3" t="s">
        <v>19</v>
      </c>
      <c r="F848" s="3" t="s">
        <v>25</v>
      </c>
      <c r="G848" s="3" t="s">
        <v>26</v>
      </c>
      <c r="H848" s="3" t="n">
        <v>1</v>
      </c>
      <c r="I848" s="3" t="n">
        <v>1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0</v>
      </c>
      <c r="O848" s="3"/>
      <c r="P848" s="3" t="n">
        <v>51.9</v>
      </c>
    </row>
    <row r="849" customFormat="false" ht="15" hidden="false" customHeight="false" outlineLevel="0" collapsed="false">
      <c r="A849" s="3" t="s">
        <v>881</v>
      </c>
      <c r="B849" s="4" t="n">
        <v>45789</v>
      </c>
      <c r="C849" s="3" t="s">
        <v>724</v>
      </c>
      <c r="D849" s="3" t="s">
        <v>32</v>
      </c>
      <c r="E849" s="3" t="s">
        <v>19</v>
      </c>
      <c r="F849" s="3" t="s">
        <v>29</v>
      </c>
      <c r="G849" s="3" t="s">
        <v>26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/>
      <c r="P849" s="3" t="n">
        <v>34.5</v>
      </c>
    </row>
    <row r="850" customFormat="false" ht="15" hidden="false" customHeight="false" outlineLevel="0" collapsed="false">
      <c r="A850" s="3" t="s">
        <v>882</v>
      </c>
      <c r="B850" s="4" t="n">
        <v>45721</v>
      </c>
      <c r="C850" s="3" t="s">
        <v>724</v>
      </c>
      <c r="D850" s="3" t="s">
        <v>32</v>
      </c>
      <c r="E850" s="3" t="s">
        <v>24</v>
      </c>
      <c r="F850" s="3" t="s">
        <v>41</v>
      </c>
      <c r="G850" s="3" t="s">
        <v>21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/>
      <c r="P850" s="3" t="n">
        <v>54.5</v>
      </c>
    </row>
    <row r="851" customFormat="false" ht="15" hidden="false" customHeight="false" outlineLevel="0" collapsed="false">
      <c r="A851" s="3" t="s">
        <v>883</v>
      </c>
      <c r="B851" s="4" t="n">
        <v>45681</v>
      </c>
      <c r="C851" s="3" t="s">
        <v>724</v>
      </c>
      <c r="D851" s="3" t="s">
        <v>28</v>
      </c>
      <c r="E851" s="3" t="s">
        <v>24</v>
      </c>
      <c r="F851" s="3" t="s">
        <v>25</v>
      </c>
      <c r="G851" s="3" t="s">
        <v>26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/>
      <c r="P851" s="3" t="n">
        <v>46</v>
      </c>
    </row>
    <row r="852" customFormat="false" ht="15" hidden="false" customHeight="false" outlineLevel="0" collapsed="false">
      <c r="A852" s="3" t="s">
        <v>884</v>
      </c>
      <c r="B852" s="4" t="n">
        <v>45688</v>
      </c>
      <c r="C852" s="3" t="s">
        <v>724</v>
      </c>
      <c r="D852" s="3" t="s">
        <v>28</v>
      </c>
      <c r="E852" s="3" t="s">
        <v>19</v>
      </c>
      <c r="F852" s="3" t="s">
        <v>20</v>
      </c>
      <c r="G852" s="3" t="s">
        <v>26</v>
      </c>
      <c r="H852" s="3" t="n">
        <v>1</v>
      </c>
      <c r="I852" s="3" t="n">
        <v>1</v>
      </c>
      <c r="J852" s="3" t="n">
        <v>1</v>
      </c>
      <c r="K852" s="3" t="n">
        <v>0</v>
      </c>
      <c r="L852" s="3" t="n">
        <v>0</v>
      </c>
      <c r="M852" s="3" t="n">
        <v>0</v>
      </c>
      <c r="N852" s="3" t="n">
        <v>0</v>
      </c>
      <c r="O852" s="3"/>
      <c r="P852" s="3" t="n">
        <v>88.4</v>
      </c>
    </row>
    <row r="853" customFormat="false" ht="15" hidden="false" customHeight="false" outlineLevel="0" collapsed="false">
      <c r="A853" s="3" t="s">
        <v>885</v>
      </c>
      <c r="B853" s="4" t="n">
        <v>45681</v>
      </c>
      <c r="C853" s="3" t="s">
        <v>724</v>
      </c>
      <c r="D853" s="3" t="s">
        <v>18</v>
      </c>
      <c r="E853" s="3" t="s">
        <v>34</v>
      </c>
      <c r="F853" s="3" t="s">
        <v>25</v>
      </c>
      <c r="G853" s="3" t="s">
        <v>21</v>
      </c>
      <c r="H853" s="3" t="n">
        <v>1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/>
      <c r="P853" s="3" t="n">
        <v>69.5</v>
      </c>
    </row>
    <row r="854" customFormat="false" ht="15" hidden="false" customHeight="false" outlineLevel="0" collapsed="false">
      <c r="A854" s="3" t="s">
        <v>886</v>
      </c>
      <c r="B854" s="4" t="n">
        <v>45702</v>
      </c>
      <c r="C854" s="3" t="s">
        <v>724</v>
      </c>
      <c r="D854" s="3" t="s">
        <v>18</v>
      </c>
      <c r="E854" s="3" t="s">
        <v>19</v>
      </c>
      <c r="F854" s="3" t="s">
        <v>39</v>
      </c>
      <c r="G854" s="3" t="s">
        <v>21</v>
      </c>
      <c r="H854" s="3" t="n">
        <v>1</v>
      </c>
      <c r="I854" s="3" t="n">
        <v>1</v>
      </c>
      <c r="J854" s="3" t="n">
        <v>1</v>
      </c>
      <c r="K854" s="3" t="n">
        <v>0</v>
      </c>
      <c r="L854" s="3" t="n">
        <v>0</v>
      </c>
      <c r="M854" s="3" t="n">
        <v>0</v>
      </c>
      <c r="N854" s="3" t="n">
        <v>0</v>
      </c>
      <c r="O854" s="3"/>
      <c r="P854" s="3" t="n">
        <v>74.2</v>
      </c>
    </row>
    <row r="855" customFormat="false" ht="15" hidden="false" customHeight="false" outlineLevel="0" collapsed="false">
      <c r="A855" s="3" t="s">
        <v>887</v>
      </c>
      <c r="B855" s="4" t="n">
        <v>45804</v>
      </c>
      <c r="C855" s="3" t="s">
        <v>724</v>
      </c>
      <c r="D855" s="3" t="s">
        <v>18</v>
      </c>
      <c r="E855" s="3" t="s">
        <v>24</v>
      </c>
      <c r="F855" s="3" t="s">
        <v>25</v>
      </c>
      <c r="G855" s="3" t="s">
        <v>26</v>
      </c>
      <c r="H855" s="3" t="n">
        <v>1</v>
      </c>
      <c r="I855" s="3" t="n">
        <v>1</v>
      </c>
      <c r="J855" s="3" t="n">
        <v>1</v>
      </c>
      <c r="K855" s="3" t="n">
        <v>0</v>
      </c>
      <c r="L855" s="3" t="n">
        <v>0</v>
      </c>
      <c r="M855" s="3" t="n">
        <v>0</v>
      </c>
      <c r="N855" s="3" t="n">
        <v>0</v>
      </c>
      <c r="O855" s="3"/>
      <c r="P855" s="3" t="n">
        <v>72.1</v>
      </c>
    </row>
    <row r="856" customFormat="false" ht="15" hidden="false" customHeight="false" outlineLevel="0" collapsed="false">
      <c r="A856" s="3" t="s">
        <v>888</v>
      </c>
      <c r="B856" s="4" t="n">
        <v>45716</v>
      </c>
      <c r="C856" s="3" t="s">
        <v>724</v>
      </c>
      <c r="D856" s="3" t="s">
        <v>18</v>
      </c>
      <c r="E856" s="3" t="s">
        <v>24</v>
      </c>
      <c r="F856" s="3" t="s">
        <v>29</v>
      </c>
      <c r="G856" s="3" t="s">
        <v>26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398.33</v>
      </c>
      <c r="M856" s="3" t="n">
        <v>0</v>
      </c>
      <c r="N856" s="3" t="n">
        <v>0</v>
      </c>
      <c r="O856" s="3" t="n">
        <v>5</v>
      </c>
      <c r="P856" s="3" t="n">
        <v>85.1</v>
      </c>
    </row>
    <row r="857" customFormat="false" ht="15" hidden="false" customHeight="false" outlineLevel="0" collapsed="false">
      <c r="A857" s="3" t="s">
        <v>889</v>
      </c>
      <c r="B857" s="4" t="n">
        <v>45804</v>
      </c>
      <c r="C857" s="3" t="s">
        <v>724</v>
      </c>
      <c r="D857" s="3" t="s">
        <v>18</v>
      </c>
      <c r="E857" s="3" t="s">
        <v>24</v>
      </c>
      <c r="F857" s="3" t="s">
        <v>25</v>
      </c>
      <c r="G857" s="3" t="s">
        <v>21</v>
      </c>
      <c r="H857" s="3" t="n">
        <v>1</v>
      </c>
      <c r="I857" s="3" t="n">
        <v>1</v>
      </c>
      <c r="J857" s="3" t="n">
        <v>1</v>
      </c>
      <c r="K857" s="3" t="n">
        <v>0</v>
      </c>
      <c r="L857" s="3" t="n">
        <v>0</v>
      </c>
      <c r="M857" s="3" t="n">
        <v>0</v>
      </c>
      <c r="N857" s="3" t="n">
        <v>0</v>
      </c>
      <c r="O857" s="3"/>
      <c r="P857" s="3" t="n">
        <v>49.5</v>
      </c>
    </row>
    <row r="858" customFormat="false" ht="15" hidden="false" customHeight="false" outlineLevel="0" collapsed="false">
      <c r="A858" s="3" t="s">
        <v>890</v>
      </c>
      <c r="B858" s="4" t="n">
        <v>45794</v>
      </c>
      <c r="C858" s="3" t="s">
        <v>724</v>
      </c>
      <c r="D858" s="3" t="s">
        <v>32</v>
      </c>
      <c r="E858" s="3" t="s">
        <v>24</v>
      </c>
      <c r="F858" s="3" t="s">
        <v>29</v>
      </c>
      <c r="G858" s="3" t="s">
        <v>30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1</v>
      </c>
      <c r="N858" s="3" t="n">
        <v>0</v>
      </c>
      <c r="O858" s="3"/>
      <c r="P858" s="3" t="n">
        <v>79</v>
      </c>
    </row>
    <row r="859" customFormat="false" ht="15" hidden="false" customHeight="false" outlineLevel="0" collapsed="false">
      <c r="A859" s="3" t="s">
        <v>891</v>
      </c>
      <c r="B859" s="4" t="n">
        <v>45667</v>
      </c>
      <c r="C859" s="3" t="s">
        <v>724</v>
      </c>
      <c r="D859" s="3" t="s">
        <v>23</v>
      </c>
      <c r="E859" s="3" t="s">
        <v>19</v>
      </c>
      <c r="F859" s="3" t="s">
        <v>41</v>
      </c>
      <c r="G859" s="3" t="s">
        <v>26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/>
      <c r="P859" s="3" t="n">
        <v>71.8</v>
      </c>
    </row>
    <row r="860" customFormat="false" ht="15" hidden="false" customHeight="false" outlineLevel="0" collapsed="false">
      <c r="A860" s="3" t="s">
        <v>892</v>
      </c>
      <c r="B860" s="4" t="n">
        <v>45769</v>
      </c>
      <c r="C860" s="3" t="s">
        <v>724</v>
      </c>
      <c r="D860" s="3" t="s">
        <v>18</v>
      </c>
      <c r="E860" s="3" t="s">
        <v>24</v>
      </c>
      <c r="F860" s="3" t="s">
        <v>20</v>
      </c>
      <c r="G860" s="3" t="s">
        <v>21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1117.54</v>
      </c>
      <c r="M860" s="3" t="n">
        <v>0</v>
      </c>
      <c r="N860" s="3" t="n">
        <v>0</v>
      </c>
      <c r="O860" s="3" t="n">
        <v>6</v>
      </c>
      <c r="P860" s="3" t="n">
        <v>60.4</v>
      </c>
    </row>
    <row r="861" customFormat="false" ht="15" hidden="false" customHeight="false" outlineLevel="0" collapsed="false">
      <c r="A861" s="3" t="s">
        <v>893</v>
      </c>
      <c r="B861" s="4" t="n">
        <v>45718</v>
      </c>
      <c r="C861" s="3" t="s">
        <v>724</v>
      </c>
      <c r="D861" s="3" t="s">
        <v>32</v>
      </c>
      <c r="E861" s="3" t="s">
        <v>19</v>
      </c>
      <c r="F861" s="3" t="s">
        <v>25</v>
      </c>
      <c r="G861" s="3" t="s">
        <v>21</v>
      </c>
      <c r="H861" s="3" t="n">
        <v>1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2</v>
      </c>
      <c r="N861" s="3" t="n">
        <v>0</v>
      </c>
      <c r="O861" s="3"/>
      <c r="P861" s="3" t="n">
        <v>38.3</v>
      </c>
    </row>
    <row r="862" customFormat="false" ht="15" hidden="false" customHeight="false" outlineLevel="0" collapsed="false">
      <c r="A862" s="3" t="s">
        <v>894</v>
      </c>
      <c r="B862" s="4" t="n">
        <v>45739</v>
      </c>
      <c r="C862" s="3" t="s">
        <v>724</v>
      </c>
      <c r="D862" s="3" t="s">
        <v>28</v>
      </c>
      <c r="E862" s="3" t="s">
        <v>24</v>
      </c>
      <c r="F862" s="3" t="s">
        <v>29</v>
      </c>
      <c r="G862" s="3" t="s">
        <v>26</v>
      </c>
      <c r="H862" s="3" t="n">
        <v>1</v>
      </c>
      <c r="I862" s="3" t="n">
        <v>1</v>
      </c>
      <c r="J862" s="3" t="n">
        <v>1</v>
      </c>
      <c r="K862" s="3" t="n">
        <v>0</v>
      </c>
      <c r="L862" s="3" t="n">
        <v>0</v>
      </c>
      <c r="M862" s="3" t="n">
        <v>0</v>
      </c>
      <c r="N862" s="3" t="n">
        <v>0</v>
      </c>
      <c r="O862" s="3"/>
      <c r="P862" s="3" t="n">
        <v>79.6</v>
      </c>
    </row>
    <row r="863" customFormat="false" ht="15" hidden="false" customHeight="false" outlineLevel="0" collapsed="false">
      <c r="A863" s="3" t="s">
        <v>895</v>
      </c>
      <c r="B863" s="4" t="n">
        <v>45700</v>
      </c>
      <c r="C863" s="3" t="s">
        <v>724</v>
      </c>
      <c r="D863" s="3" t="s">
        <v>28</v>
      </c>
      <c r="E863" s="3" t="s">
        <v>24</v>
      </c>
      <c r="F863" s="3" t="s">
        <v>20</v>
      </c>
      <c r="G863" s="3" t="s">
        <v>26</v>
      </c>
      <c r="H863" s="3" t="n">
        <v>1</v>
      </c>
      <c r="I863" s="3" t="n">
        <v>1</v>
      </c>
      <c r="J863" s="3" t="n">
        <v>1</v>
      </c>
      <c r="K863" s="3" t="n">
        <v>0</v>
      </c>
      <c r="L863" s="3" t="n">
        <v>0</v>
      </c>
      <c r="M863" s="3" t="n">
        <v>0</v>
      </c>
      <c r="N863" s="3" t="n">
        <v>0</v>
      </c>
      <c r="O863" s="3"/>
      <c r="P863" s="3" t="n">
        <v>71.9</v>
      </c>
    </row>
    <row r="864" customFormat="false" ht="15" hidden="false" customHeight="false" outlineLevel="0" collapsed="false">
      <c r="A864" s="3" t="s">
        <v>896</v>
      </c>
      <c r="B864" s="4" t="n">
        <v>45780</v>
      </c>
      <c r="C864" s="3" t="s">
        <v>724</v>
      </c>
      <c r="D864" s="3" t="s">
        <v>32</v>
      </c>
      <c r="E864" s="3" t="s">
        <v>24</v>
      </c>
      <c r="F864" s="3" t="s">
        <v>39</v>
      </c>
      <c r="G864" s="3" t="s">
        <v>21</v>
      </c>
      <c r="H864" s="3" t="n">
        <v>1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/>
      <c r="P864" s="3" t="n">
        <v>54.6</v>
      </c>
    </row>
    <row r="865" customFormat="false" ht="15" hidden="false" customHeight="false" outlineLevel="0" collapsed="false">
      <c r="A865" s="3" t="s">
        <v>897</v>
      </c>
      <c r="B865" s="4" t="n">
        <v>45744</v>
      </c>
      <c r="C865" s="3" t="s">
        <v>724</v>
      </c>
      <c r="D865" s="3" t="s">
        <v>18</v>
      </c>
      <c r="E865" s="3" t="s">
        <v>19</v>
      </c>
      <c r="F865" s="3" t="s">
        <v>41</v>
      </c>
      <c r="G865" s="3" t="s">
        <v>26</v>
      </c>
      <c r="H865" s="3" t="n">
        <v>1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3</v>
      </c>
      <c r="N865" s="3" t="n">
        <v>0</v>
      </c>
      <c r="O865" s="3"/>
      <c r="P865" s="3" t="n">
        <v>49.3</v>
      </c>
    </row>
    <row r="866" customFormat="false" ht="15" hidden="false" customHeight="false" outlineLevel="0" collapsed="false">
      <c r="A866" s="3" t="s">
        <v>898</v>
      </c>
      <c r="B866" s="4" t="n">
        <v>45728</v>
      </c>
      <c r="C866" s="3" t="s">
        <v>724</v>
      </c>
      <c r="D866" s="3" t="s">
        <v>18</v>
      </c>
      <c r="E866" s="3" t="s">
        <v>24</v>
      </c>
      <c r="F866" s="3" t="s">
        <v>41</v>
      </c>
      <c r="G866" s="3" t="s">
        <v>21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1</v>
      </c>
      <c r="N866" s="3" t="n">
        <v>0</v>
      </c>
      <c r="O866" s="3"/>
      <c r="P866" s="3" t="n">
        <v>66.9</v>
      </c>
    </row>
    <row r="867" customFormat="false" ht="15" hidden="false" customHeight="false" outlineLevel="0" collapsed="false">
      <c r="A867" s="3" t="s">
        <v>899</v>
      </c>
      <c r="B867" s="4" t="n">
        <v>45774</v>
      </c>
      <c r="C867" s="3" t="s">
        <v>724</v>
      </c>
      <c r="D867" s="3" t="s">
        <v>28</v>
      </c>
      <c r="E867" s="3" t="s">
        <v>24</v>
      </c>
      <c r="F867" s="3" t="s">
        <v>29</v>
      </c>
      <c r="G867" s="3" t="s">
        <v>26</v>
      </c>
      <c r="H867" s="3" t="n">
        <v>1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1</v>
      </c>
      <c r="N867" s="3" t="n">
        <v>0</v>
      </c>
      <c r="O867" s="3"/>
      <c r="P867" s="3" t="n">
        <v>77.8</v>
      </c>
    </row>
    <row r="868" customFormat="false" ht="15" hidden="false" customHeight="false" outlineLevel="0" collapsed="false">
      <c r="A868" s="3" t="s">
        <v>900</v>
      </c>
      <c r="B868" s="4" t="n">
        <v>45749</v>
      </c>
      <c r="C868" s="3" t="s">
        <v>724</v>
      </c>
      <c r="D868" s="3" t="s">
        <v>32</v>
      </c>
      <c r="E868" s="3" t="s">
        <v>24</v>
      </c>
      <c r="F868" s="3" t="s">
        <v>39</v>
      </c>
      <c r="G868" s="3" t="s">
        <v>21</v>
      </c>
      <c r="H868" s="3" t="n">
        <v>1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/>
      <c r="P868" s="3" t="n">
        <v>63</v>
      </c>
    </row>
    <row r="869" customFormat="false" ht="15" hidden="false" customHeight="false" outlineLevel="0" collapsed="false">
      <c r="A869" s="3" t="s">
        <v>901</v>
      </c>
      <c r="B869" s="4" t="n">
        <v>45768</v>
      </c>
      <c r="C869" s="3" t="s">
        <v>724</v>
      </c>
      <c r="D869" s="3" t="s">
        <v>18</v>
      </c>
      <c r="E869" s="3" t="s">
        <v>24</v>
      </c>
      <c r="F869" s="3" t="s">
        <v>41</v>
      </c>
      <c r="G869" s="3" t="s">
        <v>26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/>
      <c r="P869" s="3" t="n">
        <v>79.8</v>
      </c>
    </row>
    <row r="870" customFormat="false" ht="15" hidden="false" customHeight="false" outlineLevel="0" collapsed="false">
      <c r="A870" s="3" t="s">
        <v>902</v>
      </c>
      <c r="B870" s="4" t="n">
        <v>45683</v>
      </c>
      <c r="C870" s="3" t="s">
        <v>724</v>
      </c>
      <c r="D870" s="3" t="s">
        <v>23</v>
      </c>
      <c r="E870" s="3" t="s">
        <v>19</v>
      </c>
      <c r="F870" s="3" t="s">
        <v>25</v>
      </c>
      <c r="G870" s="3" t="s">
        <v>21</v>
      </c>
      <c r="H870" s="3" t="n">
        <v>0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0</v>
      </c>
      <c r="O870" s="3"/>
      <c r="P870" s="3" t="n">
        <v>69.9</v>
      </c>
    </row>
    <row r="871" customFormat="false" ht="15" hidden="false" customHeight="false" outlineLevel="0" collapsed="false">
      <c r="A871" s="3" t="s">
        <v>903</v>
      </c>
      <c r="B871" s="4" t="n">
        <v>45663</v>
      </c>
      <c r="C871" s="3" t="s">
        <v>724</v>
      </c>
      <c r="D871" s="3" t="s">
        <v>23</v>
      </c>
      <c r="E871" s="3" t="s">
        <v>24</v>
      </c>
      <c r="F871" s="3" t="s">
        <v>25</v>
      </c>
      <c r="G871" s="3" t="s">
        <v>26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1</v>
      </c>
      <c r="N871" s="3" t="n">
        <v>0</v>
      </c>
      <c r="O871" s="3"/>
      <c r="P871" s="3" t="n">
        <v>66.4</v>
      </c>
    </row>
    <row r="872" customFormat="false" ht="15" hidden="false" customHeight="false" outlineLevel="0" collapsed="false">
      <c r="A872" s="3" t="s">
        <v>904</v>
      </c>
      <c r="B872" s="4" t="n">
        <v>45695</v>
      </c>
      <c r="C872" s="3" t="s">
        <v>724</v>
      </c>
      <c r="D872" s="3" t="s">
        <v>28</v>
      </c>
      <c r="E872" s="3" t="s">
        <v>24</v>
      </c>
      <c r="F872" s="3" t="s">
        <v>25</v>
      </c>
      <c r="G872" s="3" t="s">
        <v>26</v>
      </c>
      <c r="H872" s="3" t="n">
        <v>1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0</v>
      </c>
      <c r="O872" s="3"/>
      <c r="P872" s="3" t="n">
        <v>27.6</v>
      </c>
    </row>
    <row r="873" customFormat="false" ht="15" hidden="false" customHeight="false" outlineLevel="0" collapsed="false">
      <c r="A873" s="3" t="s">
        <v>905</v>
      </c>
      <c r="B873" s="4" t="n">
        <v>45784</v>
      </c>
      <c r="C873" s="3" t="s">
        <v>724</v>
      </c>
      <c r="D873" s="3" t="s">
        <v>23</v>
      </c>
      <c r="E873" s="3" t="s">
        <v>24</v>
      </c>
      <c r="F873" s="3" t="s">
        <v>25</v>
      </c>
      <c r="G873" s="3" t="s">
        <v>30</v>
      </c>
      <c r="H873" s="3" t="n">
        <v>1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1</v>
      </c>
      <c r="N873" s="3" t="n">
        <v>0</v>
      </c>
      <c r="O873" s="3"/>
      <c r="P873" s="3" t="n">
        <v>56.5</v>
      </c>
    </row>
    <row r="874" customFormat="false" ht="15" hidden="false" customHeight="false" outlineLevel="0" collapsed="false">
      <c r="A874" s="3" t="s">
        <v>906</v>
      </c>
      <c r="B874" s="4" t="n">
        <v>45769</v>
      </c>
      <c r="C874" s="3" t="s">
        <v>724</v>
      </c>
      <c r="D874" s="3" t="s">
        <v>23</v>
      </c>
      <c r="E874" s="3" t="s">
        <v>156</v>
      </c>
      <c r="F874" s="3" t="s">
        <v>41</v>
      </c>
      <c r="G874" s="3" t="s">
        <v>26</v>
      </c>
      <c r="H874" s="3" t="n">
        <v>1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/>
      <c r="P874" s="3" t="n">
        <v>67.8</v>
      </c>
    </row>
    <row r="875" customFormat="false" ht="15" hidden="false" customHeight="false" outlineLevel="0" collapsed="false">
      <c r="A875" s="3" t="s">
        <v>907</v>
      </c>
      <c r="B875" s="4" t="n">
        <v>45781</v>
      </c>
      <c r="C875" s="3" t="s">
        <v>724</v>
      </c>
      <c r="D875" s="3" t="s">
        <v>23</v>
      </c>
      <c r="E875" s="3" t="s">
        <v>19</v>
      </c>
      <c r="F875" s="3" t="s">
        <v>41</v>
      </c>
      <c r="G875" s="3" t="s">
        <v>26</v>
      </c>
      <c r="H875" s="3" t="n">
        <v>1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/>
      <c r="P875" s="3" t="n">
        <v>80</v>
      </c>
    </row>
    <row r="876" customFormat="false" ht="15" hidden="false" customHeight="false" outlineLevel="0" collapsed="false">
      <c r="A876" s="3" t="s">
        <v>908</v>
      </c>
      <c r="B876" s="4" t="n">
        <v>45793</v>
      </c>
      <c r="C876" s="3" t="s">
        <v>724</v>
      </c>
      <c r="D876" s="3" t="s">
        <v>32</v>
      </c>
      <c r="E876" s="3" t="s">
        <v>24</v>
      </c>
      <c r="F876" s="3" t="s">
        <v>41</v>
      </c>
      <c r="G876" s="3" t="s">
        <v>21</v>
      </c>
      <c r="H876" s="3" t="n">
        <v>1</v>
      </c>
      <c r="I876" s="3" t="n">
        <v>1</v>
      </c>
      <c r="J876" s="3" t="n">
        <v>1</v>
      </c>
      <c r="K876" s="3" t="n">
        <v>0</v>
      </c>
      <c r="L876" s="3" t="n">
        <v>0</v>
      </c>
      <c r="M876" s="3" t="n">
        <v>1</v>
      </c>
      <c r="N876" s="3" t="n">
        <v>0</v>
      </c>
      <c r="O876" s="3"/>
      <c r="P876" s="3" t="n">
        <v>80.9</v>
      </c>
    </row>
    <row r="877" customFormat="false" ht="15" hidden="false" customHeight="false" outlineLevel="0" collapsed="false">
      <c r="A877" s="3" t="s">
        <v>909</v>
      </c>
      <c r="B877" s="4" t="n">
        <v>45699</v>
      </c>
      <c r="C877" s="3" t="s">
        <v>724</v>
      </c>
      <c r="D877" s="3" t="s">
        <v>23</v>
      </c>
      <c r="E877" s="3" t="s">
        <v>24</v>
      </c>
      <c r="F877" s="3" t="s">
        <v>29</v>
      </c>
      <c r="G877" s="3" t="s">
        <v>26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/>
      <c r="P877" s="3" t="n">
        <v>34.5</v>
      </c>
    </row>
    <row r="878" customFormat="false" ht="15" hidden="false" customHeight="false" outlineLevel="0" collapsed="false">
      <c r="A878" s="3" t="s">
        <v>910</v>
      </c>
      <c r="B878" s="4" t="n">
        <v>45786</v>
      </c>
      <c r="C878" s="3" t="s">
        <v>724</v>
      </c>
      <c r="D878" s="3" t="s">
        <v>28</v>
      </c>
      <c r="E878" s="3" t="s">
        <v>19</v>
      </c>
      <c r="F878" s="3" t="s">
        <v>25</v>
      </c>
      <c r="G878" s="3" t="s">
        <v>30</v>
      </c>
      <c r="H878" s="3" t="n">
        <v>1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/>
      <c r="P878" s="3" t="n">
        <v>73.5</v>
      </c>
    </row>
    <row r="879" customFormat="false" ht="15" hidden="false" customHeight="false" outlineLevel="0" collapsed="false">
      <c r="A879" s="3" t="s">
        <v>911</v>
      </c>
      <c r="B879" s="4" t="n">
        <v>45697</v>
      </c>
      <c r="C879" s="3" t="s">
        <v>724</v>
      </c>
      <c r="D879" s="3" t="s">
        <v>32</v>
      </c>
      <c r="E879" s="3" t="s">
        <v>19</v>
      </c>
      <c r="F879" s="3" t="s">
        <v>29</v>
      </c>
      <c r="G879" s="3" t="s">
        <v>26</v>
      </c>
      <c r="H879" s="3" t="n">
        <v>1</v>
      </c>
      <c r="I879" s="3" t="n">
        <v>1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/>
      <c r="P879" s="3" t="n">
        <v>70</v>
      </c>
    </row>
    <row r="880" customFormat="false" ht="15" hidden="false" customHeight="false" outlineLevel="0" collapsed="false">
      <c r="A880" s="3" t="s">
        <v>912</v>
      </c>
      <c r="B880" s="4" t="n">
        <v>45799</v>
      </c>
      <c r="C880" s="3" t="s">
        <v>724</v>
      </c>
      <c r="D880" s="3" t="s">
        <v>23</v>
      </c>
      <c r="E880" s="3" t="s">
        <v>24</v>
      </c>
      <c r="F880" s="3" t="s">
        <v>41</v>
      </c>
      <c r="G880" s="3" t="s">
        <v>21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/>
      <c r="P880" s="3" t="n">
        <v>86.9</v>
      </c>
    </row>
    <row r="881" customFormat="false" ht="15" hidden="false" customHeight="false" outlineLevel="0" collapsed="false">
      <c r="A881" s="3" t="s">
        <v>913</v>
      </c>
      <c r="B881" s="4" t="n">
        <v>45801</v>
      </c>
      <c r="C881" s="3" t="s">
        <v>724</v>
      </c>
      <c r="D881" s="3" t="s">
        <v>28</v>
      </c>
      <c r="E881" s="3" t="s">
        <v>24</v>
      </c>
      <c r="F881" s="3" t="s">
        <v>41</v>
      </c>
      <c r="G881" s="3" t="s">
        <v>21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/>
      <c r="P881" s="3" t="n">
        <v>66.9</v>
      </c>
    </row>
    <row r="882" customFormat="false" ht="15" hidden="false" customHeight="false" outlineLevel="0" collapsed="false">
      <c r="A882" s="3" t="s">
        <v>914</v>
      </c>
      <c r="B882" s="4" t="n">
        <v>45774</v>
      </c>
      <c r="C882" s="3" t="s">
        <v>724</v>
      </c>
      <c r="D882" s="3" t="s">
        <v>32</v>
      </c>
      <c r="E882" s="3" t="s">
        <v>19</v>
      </c>
      <c r="F882" s="3" t="s">
        <v>41</v>
      </c>
      <c r="G882" s="3" t="s">
        <v>21</v>
      </c>
      <c r="H882" s="3" t="n">
        <v>1</v>
      </c>
      <c r="I882" s="3" t="n">
        <v>1</v>
      </c>
      <c r="J882" s="3" t="n">
        <v>1</v>
      </c>
      <c r="K882" s="3" t="n">
        <v>0</v>
      </c>
      <c r="L882" s="3" t="n">
        <v>0</v>
      </c>
      <c r="M882" s="3" t="n">
        <v>0</v>
      </c>
      <c r="N882" s="3" t="n">
        <v>0</v>
      </c>
      <c r="O882" s="3"/>
      <c r="P882" s="3" t="n">
        <v>58.3</v>
      </c>
    </row>
    <row r="883" customFormat="false" ht="15" hidden="false" customHeight="false" outlineLevel="0" collapsed="false">
      <c r="A883" s="3" t="s">
        <v>915</v>
      </c>
      <c r="B883" s="4" t="n">
        <v>45735</v>
      </c>
      <c r="C883" s="3" t="s">
        <v>724</v>
      </c>
      <c r="D883" s="3" t="s">
        <v>28</v>
      </c>
      <c r="E883" s="3" t="s">
        <v>24</v>
      </c>
      <c r="F883" s="3" t="s">
        <v>29</v>
      </c>
      <c r="G883" s="3" t="s">
        <v>26</v>
      </c>
      <c r="H883" s="3" t="n">
        <v>1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/>
      <c r="P883" s="3" t="n">
        <v>45</v>
      </c>
    </row>
    <row r="884" customFormat="false" ht="15" hidden="false" customHeight="false" outlineLevel="0" collapsed="false">
      <c r="A884" s="3" t="s">
        <v>916</v>
      </c>
      <c r="B884" s="4" t="n">
        <v>45797</v>
      </c>
      <c r="C884" s="3" t="s">
        <v>724</v>
      </c>
      <c r="D884" s="3" t="s">
        <v>32</v>
      </c>
      <c r="E884" s="3" t="s">
        <v>24</v>
      </c>
      <c r="F884" s="3" t="s">
        <v>25</v>
      </c>
      <c r="G884" s="3" t="s">
        <v>30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/>
      <c r="P884" s="3" t="n">
        <v>60.8</v>
      </c>
    </row>
    <row r="885" customFormat="false" ht="15" hidden="false" customHeight="false" outlineLevel="0" collapsed="false">
      <c r="A885" s="3" t="s">
        <v>917</v>
      </c>
      <c r="B885" s="4" t="n">
        <v>45787</v>
      </c>
      <c r="C885" s="3" t="s">
        <v>724</v>
      </c>
      <c r="D885" s="3" t="s">
        <v>18</v>
      </c>
      <c r="E885" s="3" t="s">
        <v>24</v>
      </c>
      <c r="F885" s="3" t="s">
        <v>20</v>
      </c>
      <c r="G885" s="3" t="s">
        <v>30</v>
      </c>
      <c r="H885" s="3" t="n">
        <v>1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4</v>
      </c>
      <c r="N885" s="3" t="n">
        <v>0</v>
      </c>
      <c r="O885" s="3"/>
      <c r="P885" s="3" t="n">
        <v>53.7</v>
      </c>
    </row>
    <row r="886" customFormat="false" ht="15" hidden="false" customHeight="false" outlineLevel="0" collapsed="false">
      <c r="A886" s="3" t="s">
        <v>918</v>
      </c>
      <c r="B886" s="4" t="n">
        <v>45745</v>
      </c>
      <c r="C886" s="3" t="s">
        <v>724</v>
      </c>
      <c r="D886" s="3" t="s">
        <v>28</v>
      </c>
      <c r="E886" s="3" t="s">
        <v>24</v>
      </c>
      <c r="F886" s="3" t="s">
        <v>41</v>
      </c>
      <c r="G886" s="3" t="s">
        <v>26</v>
      </c>
      <c r="H886" s="3" t="n">
        <v>1</v>
      </c>
      <c r="I886" s="3" t="n">
        <v>1</v>
      </c>
      <c r="J886" s="3" t="n">
        <v>1</v>
      </c>
      <c r="K886" s="3" t="n">
        <v>0</v>
      </c>
      <c r="L886" s="3" t="n">
        <v>0</v>
      </c>
      <c r="M886" s="3" t="n">
        <v>0</v>
      </c>
      <c r="N886" s="3" t="n">
        <v>0</v>
      </c>
      <c r="O886" s="3"/>
      <c r="P886" s="3" t="n">
        <v>48.8</v>
      </c>
    </row>
    <row r="887" customFormat="false" ht="15" hidden="false" customHeight="false" outlineLevel="0" collapsed="false">
      <c r="A887" s="3" t="s">
        <v>919</v>
      </c>
      <c r="B887" s="4" t="n">
        <v>45750</v>
      </c>
      <c r="C887" s="3" t="s">
        <v>724</v>
      </c>
      <c r="D887" s="3" t="s">
        <v>23</v>
      </c>
      <c r="E887" s="3" t="s">
        <v>19</v>
      </c>
      <c r="F887" s="3" t="s">
        <v>39</v>
      </c>
      <c r="G887" s="3" t="s">
        <v>21</v>
      </c>
      <c r="H887" s="3" t="n">
        <v>0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0</v>
      </c>
      <c r="O887" s="3"/>
      <c r="P887" s="3" t="n">
        <v>52.9</v>
      </c>
    </row>
    <row r="888" customFormat="false" ht="15" hidden="false" customHeight="false" outlineLevel="0" collapsed="false">
      <c r="A888" s="3" t="s">
        <v>920</v>
      </c>
      <c r="B888" s="4" t="n">
        <v>45807</v>
      </c>
      <c r="C888" s="3" t="s">
        <v>724</v>
      </c>
      <c r="D888" s="3" t="s">
        <v>32</v>
      </c>
      <c r="E888" s="3" t="s">
        <v>24</v>
      </c>
      <c r="F888" s="3" t="s">
        <v>20</v>
      </c>
      <c r="G888" s="3" t="s">
        <v>26</v>
      </c>
      <c r="H888" s="3" t="n">
        <v>1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0</v>
      </c>
      <c r="O888" s="3"/>
      <c r="P888" s="3" t="n">
        <v>42.4</v>
      </c>
    </row>
    <row r="889" customFormat="false" ht="15" hidden="false" customHeight="false" outlineLevel="0" collapsed="false">
      <c r="A889" s="3" t="s">
        <v>921</v>
      </c>
      <c r="B889" s="4" t="n">
        <v>45753</v>
      </c>
      <c r="C889" s="3" t="s">
        <v>724</v>
      </c>
      <c r="D889" s="3" t="s">
        <v>28</v>
      </c>
      <c r="E889" s="3" t="s">
        <v>19</v>
      </c>
      <c r="F889" s="3" t="s">
        <v>20</v>
      </c>
      <c r="G889" s="3" t="s">
        <v>26</v>
      </c>
      <c r="H889" s="3" t="n">
        <v>1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/>
      <c r="P889" s="3" t="n">
        <v>58.7</v>
      </c>
    </row>
    <row r="890" customFormat="false" ht="15" hidden="false" customHeight="false" outlineLevel="0" collapsed="false">
      <c r="A890" s="3" t="s">
        <v>922</v>
      </c>
      <c r="B890" s="4" t="n">
        <v>45730</v>
      </c>
      <c r="C890" s="3" t="s">
        <v>724</v>
      </c>
      <c r="D890" s="3" t="s">
        <v>18</v>
      </c>
      <c r="E890" s="3" t="s">
        <v>24</v>
      </c>
      <c r="F890" s="3" t="s">
        <v>39</v>
      </c>
      <c r="G890" s="3" t="s">
        <v>26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2064.55</v>
      </c>
      <c r="M890" s="3" t="n">
        <v>0</v>
      </c>
      <c r="N890" s="3" t="n">
        <v>0</v>
      </c>
      <c r="O890" s="3" t="n">
        <v>1</v>
      </c>
      <c r="P890" s="3" t="n">
        <v>67.8</v>
      </c>
    </row>
    <row r="891" customFormat="false" ht="15" hidden="false" customHeight="false" outlineLevel="0" collapsed="false">
      <c r="A891" s="3" t="s">
        <v>923</v>
      </c>
      <c r="B891" s="4" t="n">
        <v>45712</v>
      </c>
      <c r="C891" s="3" t="s">
        <v>724</v>
      </c>
      <c r="D891" s="3" t="s">
        <v>32</v>
      </c>
      <c r="E891" s="3" t="s">
        <v>19</v>
      </c>
      <c r="F891" s="3" t="s">
        <v>29</v>
      </c>
      <c r="G891" s="3" t="s">
        <v>21</v>
      </c>
      <c r="H891" s="3" t="n">
        <v>1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/>
      <c r="P891" s="3" t="n">
        <v>62.6</v>
      </c>
    </row>
    <row r="892" customFormat="false" ht="15" hidden="false" customHeight="false" outlineLevel="0" collapsed="false">
      <c r="A892" s="3" t="s">
        <v>924</v>
      </c>
      <c r="B892" s="4" t="n">
        <v>45720</v>
      </c>
      <c r="C892" s="3" t="s">
        <v>724</v>
      </c>
      <c r="D892" s="3" t="s">
        <v>23</v>
      </c>
      <c r="E892" s="3" t="s">
        <v>24</v>
      </c>
      <c r="F892" s="3" t="s">
        <v>20</v>
      </c>
      <c r="G892" s="3" t="s">
        <v>21</v>
      </c>
      <c r="H892" s="3" t="n">
        <v>1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/>
      <c r="P892" s="3" t="n">
        <v>82.4</v>
      </c>
    </row>
    <row r="893" customFormat="false" ht="15" hidden="false" customHeight="false" outlineLevel="0" collapsed="false">
      <c r="A893" s="3" t="s">
        <v>925</v>
      </c>
      <c r="B893" s="4" t="n">
        <v>45749</v>
      </c>
      <c r="C893" s="3" t="s">
        <v>724</v>
      </c>
      <c r="D893" s="3" t="s">
        <v>18</v>
      </c>
      <c r="E893" s="3" t="s">
        <v>24</v>
      </c>
      <c r="F893" s="3" t="s">
        <v>25</v>
      </c>
      <c r="G893" s="3" t="s">
        <v>26</v>
      </c>
      <c r="H893" s="3" t="n">
        <v>1</v>
      </c>
      <c r="I893" s="3" t="n">
        <v>1</v>
      </c>
      <c r="J893" s="3" t="n">
        <v>1</v>
      </c>
      <c r="K893" s="3" t="n">
        <v>0</v>
      </c>
      <c r="L893" s="3" t="n">
        <v>0</v>
      </c>
      <c r="M893" s="3" t="n">
        <v>0</v>
      </c>
      <c r="N893" s="3" t="n">
        <v>0</v>
      </c>
      <c r="O893" s="3"/>
      <c r="P893" s="3" t="n">
        <v>50.4</v>
      </c>
    </row>
    <row r="894" customFormat="false" ht="15" hidden="false" customHeight="false" outlineLevel="0" collapsed="false">
      <c r="A894" s="3" t="s">
        <v>926</v>
      </c>
      <c r="B894" s="4" t="n">
        <v>45788</v>
      </c>
      <c r="C894" s="3" t="s">
        <v>724</v>
      </c>
      <c r="D894" s="3" t="s">
        <v>18</v>
      </c>
      <c r="E894" s="3" t="s">
        <v>24</v>
      </c>
      <c r="F894" s="3" t="s">
        <v>20</v>
      </c>
      <c r="G894" s="3" t="s">
        <v>30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/>
      <c r="P894" s="3" t="n">
        <v>68.4</v>
      </c>
    </row>
    <row r="895" customFormat="false" ht="15" hidden="false" customHeight="false" outlineLevel="0" collapsed="false">
      <c r="A895" s="3" t="s">
        <v>927</v>
      </c>
      <c r="B895" s="4" t="n">
        <v>45787</v>
      </c>
      <c r="C895" s="3" t="s">
        <v>724</v>
      </c>
      <c r="D895" s="3" t="s">
        <v>23</v>
      </c>
      <c r="E895" s="3" t="s">
        <v>34</v>
      </c>
      <c r="F895" s="3" t="s">
        <v>29</v>
      </c>
      <c r="G895" s="3" t="s">
        <v>21</v>
      </c>
      <c r="H895" s="3" t="n">
        <v>1</v>
      </c>
      <c r="I895" s="3" t="n">
        <v>1</v>
      </c>
      <c r="J895" s="3" t="n">
        <v>1</v>
      </c>
      <c r="K895" s="3" t="n">
        <v>0</v>
      </c>
      <c r="L895" s="3" t="n">
        <v>0</v>
      </c>
      <c r="M895" s="3" t="n">
        <v>0</v>
      </c>
      <c r="N895" s="3" t="n">
        <v>0</v>
      </c>
      <c r="O895" s="3"/>
      <c r="P895" s="3" t="n">
        <v>58.8</v>
      </c>
    </row>
    <row r="896" customFormat="false" ht="15" hidden="false" customHeight="false" outlineLevel="0" collapsed="false">
      <c r="A896" s="3" t="s">
        <v>928</v>
      </c>
      <c r="B896" s="4" t="n">
        <v>45783</v>
      </c>
      <c r="C896" s="3" t="s">
        <v>724</v>
      </c>
      <c r="D896" s="3" t="s">
        <v>23</v>
      </c>
      <c r="E896" s="3" t="s">
        <v>24</v>
      </c>
      <c r="F896" s="3" t="s">
        <v>39</v>
      </c>
      <c r="G896" s="3" t="s">
        <v>26</v>
      </c>
      <c r="H896" s="3" t="n">
        <v>1</v>
      </c>
      <c r="I896" s="3" t="n">
        <v>1</v>
      </c>
      <c r="J896" s="3" t="n">
        <v>0</v>
      </c>
      <c r="K896" s="3" t="n">
        <v>0</v>
      </c>
      <c r="L896" s="3" t="n">
        <v>0</v>
      </c>
      <c r="M896" s="3" t="n">
        <v>2</v>
      </c>
      <c r="N896" s="3" t="n">
        <v>0</v>
      </c>
      <c r="O896" s="3"/>
      <c r="P896" s="3" t="n">
        <v>28.3</v>
      </c>
    </row>
    <row r="897" customFormat="false" ht="15" hidden="false" customHeight="false" outlineLevel="0" collapsed="false">
      <c r="A897" s="3" t="s">
        <v>929</v>
      </c>
      <c r="B897" s="4" t="n">
        <v>45699</v>
      </c>
      <c r="C897" s="3" t="s">
        <v>724</v>
      </c>
      <c r="D897" s="3" t="s">
        <v>23</v>
      </c>
      <c r="E897" s="3" t="s">
        <v>19</v>
      </c>
      <c r="F897" s="3" t="s">
        <v>29</v>
      </c>
      <c r="G897" s="3" t="s">
        <v>26</v>
      </c>
      <c r="H897" s="3" t="n">
        <v>1</v>
      </c>
      <c r="I897" s="3" t="n">
        <v>1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0</v>
      </c>
      <c r="O897" s="3"/>
      <c r="P897" s="3" t="n">
        <v>44.1</v>
      </c>
    </row>
    <row r="898" customFormat="false" ht="15" hidden="false" customHeight="false" outlineLevel="0" collapsed="false">
      <c r="A898" s="3" t="s">
        <v>930</v>
      </c>
      <c r="B898" s="4" t="n">
        <v>45786</v>
      </c>
      <c r="C898" s="3" t="s">
        <v>724</v>
      </c>
      <c r="D898" s="3" t="s">
        <v>32</v>
      </c>
      <c r="E898" s="3" t="s">
        <v>24</v>
      </c>
      <c r="F898" s="3" t="s">
        <v>29</v>
      </c>
      <c r="G898" s="3" t="s">
        <v>30</v>
      </c>
      <c r="H898" s="3" t="n">
        <v>1</v>
      </c>
      <c r="I898" s="3" t="n">
        <v>1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/>
      <c r="P898" s="3" t="n">
        <v>66.7</v>
      </c>
    </row>
    <row r="899" customFormat="false" ht="15" hidden="false" customHeight="false" outlineLevel="0" collapsed="false">
      <c r="A899" s="3" t="s">
        <v>931</v>
      </c>
      <c r="B899" s="4" t="n">
        <v>45690</v>
      </c>
      <c r="C899" s="3" t="s">
        <v>724</v>
      </c>
      <c r="D899" s="3" t="s">
        <v>32</v>
      </c>
      <c r="E899" s="3" t="s">
        <v>24</v>
      </c>
      <c r="F899" s="3" t="s">
        <v>156</v>
      </c>
      <c r="G899" s="3" t="s">
        <v>26</v>
      </c>
      <c r="H899" s="3" t="n">
        <v>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0</v>
      </c>
      <c r="O899" s="3"/>
      <c r="P899" s="3" t="n">
        <v>100</v>
      </c>
    </row>
    <row r="900" customFormat="false" ht="15" hidden="false" customHeight="false" outlineLevel="0" collapsed="false">
      <c r="A900" s="3" t="s">
        <v>932</v>
      </c>
      <c r="B900" s="4" t="n">
        <v>45750</v>
      </c>
      <c r="C900" s="3" t="s">
        <v>724</v>
      </c>
      <c r="D900" s="3" t="s">
        <v>32</v>
      </c>
      <c r="E900" s="3" t="s">
        <v>24</v>
      </c>
      <c r="F900" s="3" t="s">
        <v>41</v>
      </c>
      <c r="G900" s="3" t="s">
        <v>26</v>
      </c>
      <c r="H900" s="3" t="n">
        <v>1</v>
      </c>
      <c r="I900" s="3" t="n">
        <v>1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0</v>
      </c>
      <c r="O900" s="3"/>
      <c r="P900" s="3" t="n">
        <v>87.5</v>
      </c>
    </row>
    <row r="901" customFormat="false" ht="15" hidden="false" customHeight="false" outlineLevel="0" collapsed="false">
      <c r="A901" s="3" t="s">
        <v>933</v>
      </c>
      <c r="B901" s="4" t="n">
        <v>45703</v>
      </c>
      <c r="C901" s="3" t="s">
        <v>724</v>
      </c>
      <c r="D901" s="3" t="s">
        <v>18</v>
      </c>
      <c r="E901" s="3" t="s">
        <v>19</v>
      </c>
      <c r="F901" s="3" t="s">
        <v>25</v>
      </c>
      <c r="G901" s="3" t="s">
        <v>21</v>
      </c>
      <c r="H901" s="3" t="n">
        <v>1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2</v>
      </c>
      <c r="N901" s="3" t="n">
        <v>0</v>
      </c>
      <c r="O901" s="3"/>
      <c r="P901" s="3" t="n">
        <v>65.4</v>
      </c>
    </row>
    <row r="902" customFormat="false" ht="15" hidden="false" customHeight="false" outlineLevel="0" collapsed="false">
      <c r="A902" s="3" t="s">
        <v>934</v>
      </c>
      <c r="B902" s="4" t="n">
        <v>45765</v>
      </c>
      <c r="C902" s="3" t="s">
        <v>724</v>
      </c>
      <c r="D902" s="3" t="s">
        <v>32</v>
      </c>
      <c r="E902" s="3" t="s">
        <v>19</v>
      </c>
      <c r="F902" s="3" t="s">
        <v>25</v>
      </c>
      <c r="G902" s="3" t="s">
        <v>26</v>
      </c>
      <c r="H902" s="3" t="n">
        <v>1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/>
      <c r="P902" s="3" t="n">
        <v>22.9</v>
      </c>
    </row>
    <row r="903" customFormat="false" ht="15" hidden="false" customHeight="false" outlineLevel="0" collapsed="false">
      <c r="A903" s="3" t="s">
        <v>935</v>
      </c>
      <c r="B903" s="4" t="n">
        <v>45730</v>
      </c>
      <c r="C903" s="3" t="s">
        <v>724</v>
      </c>
      <c r="D903" s="3" t="s">
        <v>23</v>
      </c>
      <c r="E903" s="3" t="s">
        <v>19</v>
      </c>
      <c r="F903" s="3" t="s">
        <v>25</v>
      </c>
      <c r="G903" s="3" t="s">
        <v>30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/>
      <c r="P903" s="3" t="n">
        <v>64.6</v>
      </c>
    </row>
    <row r="904" customFormat="false" ht="15" hidden="false" customHeight="false" outlineLevel="0" collapsed="false">
      <c r="A904" s="3" t="s">
        <v>936</v>
      </c>
      <c r="B904" s="4" t="n">
        <v>45745</v>
      </c>
      <c r="C904" s="3" t="s">
        <v>724</v>
      </c>
      <c r="D904" s="3" t="s">
        <v>32</v>
      </c>
      <c r="E904" s="3" t="s">
        <v>24</v>
      </c>
      <c r="F904" s="3" t="s">
        <v>39</v>
      </c>
      <c r="G904" s="3" t="s">
        <v>26</v>
      </c>
      <c r="H904" s="3" t="n">
        <v>1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2</v>
      </c>
      <c r="N904" s="3" t="n">
        <v>0</v>
      </c>
      <c r="O904" s="3"/>
      <c r="P904" s="3" t="n">
        <v>54.4</v>
      </c>
    </row>
    <row r="905" customFormat="false" ht="15" hidden="false" customHeight="false" outlineLevel="0" collapsed="false">
      <c r="A905" s="3" t="s">
        <v>937</v>
      </c>
      <c r="B905" s="4" t="n">
        <v>45701</v>
      </c>
      <c r="C905" s="3" t="s">
        <v>724</v>
      </c>
      <c r="D905" s="3" t="s">
        <v>18</v>
      </c>
      <c r="E905" s="3" t="s">
        <v>19</v>
      </c>
      <c r="F905" s="3" t="s">
        <v>25</v>
      </c>
      <c r="G905" s="3" t="s">
        <v>26</v>
      </c>
      <c r="H905" s="3" t="n">
        <v>1</v>
      </c>
      <c r="I905" s="3" t="n">
        <v>1</v>
      </c>
      <c r="J905" s="3" t="n">
        <v>1</v>
      </c>
      <c r="K905" s="3" t="n">
        <v>0</v>
      </c>
      <c r="L905" s="3" t="n">
        <v>0</v>
      </c>
      <c r="M905" s="3" t="n">
        <v>0</v>
      </c>
      <c r="N905" s="3" t="n">
        <v>0</v>
      </c>
      <c r="O905" s="3"/>
      <c r="P905" s="3" t="n">
        <v>56.8</v>
      </c>
    </row>
    <row r="906" customFormat="false" ht="15" hidden="false" customHeight="false" outlineLevel="0" collapsed="false">
      <c r="A906" s="3" t="s">
        <v>938</v>
      </c>
      <c r="B906" s="4" t="n">
        <v>45680</v>
      </c>
      <c r="C906" s="3" t="s">
        <v>724</v>
      </c>
      <c r="D906" s="3" t="s">
        <v>32</v>
      </c>
      <c r="E906" s="3" t="s">
        <v>24</v>
      </c>
      <c r="F906" s="3" t="s">
        <v>29</v>
      </c>
      <c r="G906" s="3" t="s">
        <v>26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341.38</v>
      </c>
      <c r="M906" s="3" t="n">
        <v>0</v>
      </c>
      <c r="N906" s="3" t="n">
        <v>0</v>
      </c>
      <c r="O906" s="3" t="n">
        <v>2</v>
      </c>
      <c r="P906" s="3" t="n">
        <v>63.6</v>
      </c>
    </row>
    <row r="907" customFormat="false" ht="15" hidden="false" customHeight="false" outlineLevel="0" collapsed="false">
      <c r="A907" s="3" t="s">
        <v>939</v>
      </c>
      <c r="B907" s="4" t="n">
        <v>45712</v>
      </c>
      <c r="C907" s="3" t="s">
        <v>724</v>
      </c>
      <c r="D907" s="3" t="s">
        <v>28</v>
      </c>
      <c r="E907" s="3" t="s">
        <v>24</v>
      </c>
      <c r="F907" s="3" t="s">
        <v>41</v>
      </c>
      <c r="G907" s="3" t="s">
        <v>26</v>
      </c>
      <c r="H907" s="3" t="n">
        <v>1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/>
      <c r="P907" s="3" t="n">
        <v>58.2</v>
      </c>
    </row>
    <row r="908" customFormat="false" ht="15" hidden="false" customHeight="false" outlineLevel="0" collapsed="false">
      <c r="A908" s="3" t="s">
        <v>940</v>
      </c>
      <c r="B908" s="4" t="n">
        <v>45716</v>
      </c>
      <c r="C908" s="3" t="s">
        <v>724</v>
      </c>
      <c r="D908" s="3" t="s">
        <v>23</v>
      </c>
      <c r="E908" s="3" t="s">
        <v>24</v>
      </c>
      <c r="F908" s="3" t="s">
        <v>29</v>
      </c>
      <c r="G908" s="3" t="s">
        <v>26</v>
      </c>
      <c r="H908" s="3" t="n">
        <v>1</v>
      </c>
      <c r="I908" s="3" t="n">
        <v>1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/>
      <c r="P908" s="3" t="n">
        <v>54.6</v>
      </c>
    </row>
    <row r="909" customFormat="false" ht="15" hidden="false" customHeight="false" outlineLevel="0" collapsed="false">
      <c r="A909" s="3" t="s">
        <v>941</v>
      </c>
      <c r="B909" s="4" t="n">
        <v>45664</v>
      </c>
      <c r="C909" s="3" t="s">
        <v>724</v>
      </c>
      <c r="D909" s="3" t="s">
        <v>23</v>
      </c>
      <c r="E909" s="3" t="s">
        <v>34</v>
      </c>
      <c r="F909" s="3" t="s">
        <v>25</v>
      </c>
      <c r="G909" s="3" t="s">
        <v>21</v>
      </c>
      <c r="H909" s="3" t="n">
        <v>1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/>
      <c r="P909" s="3" t="n">
        <v>81.9</v>
      </c>
    </row>
    <row r="910" customFormat="false" ht="15" hidden="false" customHeight="false" outlineLevel="0" collapsed="false">
      <c r="A910" s="3" t="s">
        <v>942</v>
      </c>
      <c r="B910" s="4" t="n">
        <v>45737</v>
      </c>
      <c r="C910" s="3" t="s">
        <v>724</v>
      </c>
      <c r="D910" s="3" t="s">
        <v>23</v>
      </c>
      <c r="E910" s="3" t="s">
        <v>19</v>
      </c>
      <c r="F910" s="3" t="s">
        <v>20</v>
      </c>
      <c r="G910" s="3" t="s">
        <v>26</v>
      </c>
      <c r="H910" s="3" t="n">
        <v>1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3</v>
      </c>
      <c r="N910" s="3" t="n">
        <v>0</v>
      </c>
      <c r="O910" s="3"/>
      <c r="P910" s="3" t="n">
        <v>53.3</v>
      </c>
    </row>
    <row r="911" customFormat="false" ht="15" hidden="false" customHeight="false" outlineLevel="0" collapsed="false">
      <c r="A911" s="3" t="s">
        <v>943</v>
      </c>
      <c r="B911" s="4" t="n">
        <v>45706</v>
      </c>
      <c r="C911" s="3" t="s">
        <v>724</v>
      </c>
      <c r="D911" s="3" t="s">
        <v>18</v>
      </c>
      <c r="E911" s="3" t="s">
        <v>19</v>
      </c>
      <c r="F911" s="3" t="s">
        <v>25</v>
      </c>
      <c r="G911" s="3" t="s">
        <v>21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/>
      <c r="P911" s="3" t="n">
        <v>54.2</v>
      </c>
    </row>
    <row r="912" customFormat="false" ht="15" hidden="false" customHeight="false" outlineLevel="0" collapsed="false">
      <c r="A912" s="3" t="s">
        <v>944</v>
      </c>
      <c r="B912" s="4" t="n">
        <v>45662</v>
      </c>
      <c r="C912" s="3" t="s">
        <v>724</v>
      </c>
      <c r="D912" s="3" t="s">
        <v>18</v>
      </c>
      <c r="E912" s="3" t="s">
        <v>24</v>
      </c>
      <c r="F912" s="3" t="s">
        <v>29</v>
      </c>
      <c r="G912" s="3" t="s">
        <v>26</v>
      </c>
      <c r="H912" s="3" t="n">
        <v>1</v>
      </c>
      <c r="I912" s="3" t="n">
        <v>1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0</v>
      </c>
      <c r="O912" s="3"/>
      <c r="P912" s="3" t="n">
        <v>65.6</v>
      </c>
    </row>
    <row r="913" customFormat="false" ht="15" hidden="false" customHeight="false" outlineLevel="0" collapsed="false">
      <c r="A913" s="3" t="s">
        <v>945</v>
      </c>
      <c r="B913" s="4" t="n">
        <v>45727</v>
      </c>
      <c r="C913" s="3" t="s">
        <v>724</v>
      </c>
      <c r="D913" s="3" t="s">
        <v>28</v>
      </c>
      <c r="E913" s="3" t="s">
        <v>19</v>
      </c>
      <c r="F913" s="3" t="s">
        <v>25</v>
      </c>
      <c r="G913" s="3" t="s">
        <v>21</v>
      </c>
      <c r="H913" s="3" t="n">
        <v>1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1</v>
      </c>
      <c r="N913" s="3" t="n">
        <v>0</v>
      </c>
      <c r="O913" s="3"/>
      <c r="P913" s="3" t="n">
        <v>56.5</v>
      </c>
    </row>
    <row r="914" customFormat="false" ht="15" hidden="false" customHeight="false" outlineLevel="0" collapsed="false">
      <c r="A914" s="3" t="s">
        <v>946</v>
      </c>
      <c r="B914" s="4" t="n">
        <v>45666</v>
      </c>
      <c r="C914" s="3" t="s">
        <v>724</v>
      </c>
      <c r="D914" s="3" t="s">
        <v>18</v>
      </c>
      <c r="E914" s="3" t="s">
        <v>19</v>
      </c>
      <c r="F914" s="3" t="s">
        <v>25</v>
      </c>
      <c r="G914" s="3" t="s">
        <v>21</v>
      </c>
      <c r="H914" s="3" t="n">
        <v>1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/>
      <c r="P914" s="3" t="n">
        <v>59.7</v>
      </c>
    </row>
    <row r="915" customFormat="false" ht="15" hidden="false" customHeight="false" outlineLevel="0" collapsed="false">
      <c r="A915" s="3" t="s">
        <v>947</v>
      </c>
      <c r="B915" s="4" t="n">
        <v>45665</v>
      </c>
      <c r="C915" s="3" t="s">
        <v>724</v>
      </c>
      <c r="D915" s="3" t="s">
        <v>32</v>
      </c>
      <c r="E915" s="3" t="s">
        <v>24</v>
      </c>
      <c r="F915" s="3" t="s">
        <v>25</v>
      </c>
      <c r="G915" s="3" t="s">
        <v>26</v>
      </c>
      <c r="H915" s="3" t="n">
        <v>1</v>
      </c>
      <c r="I915" s="3" t="n">
        <v>1</v>
      </c>
      <c r="J915" s="3" t="n">
        <v>1</v>
      </c>
      <c r="K915" s="3" t="n">
        <v>0</v>
      </c>
      <c r="L915" s="3" t="n">
        <v>0</v>
      </c>
      <c r="M915" s="3" t="n">
        <v>0</v>
      </c>
      <c r="N915" s="3" t="n">
        <v>0</v>
      </c>
      <c r="O915" s="3"/>
      <c r="P915" s="3" t="n">
        <v>72.5</v>
      </c>
    </row>
    <row r="916" customFormat="false" ht="15" hidden="false" customHeight="false" outlineLevel="0" collapsed="false">
      <c r="A916" s="3" t="s">
        <v>948</v>
      </c>
      <c r="B916" s="4" t="n">
        <v>45778</v>
      </c>
      <c r="C916" s="3" t="s">
        <v>724</v>
      </c>
      <c r="D916" s="3" t="s">
        <v>28</v>
      </c>
      <c r="E916" s="3" t="s">
        <v>19</v>
      </c>
      <c r="F916" s="3" t="s">
        <v>29</v>
      </c>
      <c r="G916" s="3" t="s">
        <v>26</v>
      </c>
      <c r="H916" s="3" t="n">
        <v>1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/>
      <c r="P916" s="3" t="n">
        <v>64.3</v>
      </c>
    </row>
    <row r="917" customFormat="false" ht="15" hidden="false" customHeight="false" outlineLevel="0" collapsed="false">
      <c r="A917" s="3" t="s">
        <v>949</v>
      </c>
      <c r="B917" s="4" t="n">
        <v>45719</v>
      </c>
      <c r="C917" s="3" t="s">
        <v>724</v>
      </c>
      <c r="D917" s="3" t="s">
        <v>32</v>
      </c>
      <c r="E917" s="3" t="s">
        <v>24</v>
      </c>
      <c r="F917" s="3" t="s">
        <v>41</v>
      </c>
      <c r="G917" s="3" t="s">
        <v>26</v>
      </c>
      <c r="H917" s="3" t="n">
        <v>1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/>
      <c r="P917" s="3" t="n">
        <v>64.5</v>
      </c>
    </row>
    <row r="918" customFormat="false" ht="15" hidden="false" customHeight="false" outlineLevel="0" collapsed="false">
      <c r="A918" s="3" t="s">
        <v>950</v>
      </c>
      <c r="B918" s="4" t="n">
        <v>45711</v>
      </c>
      <c r="C918" s="3" t="s">
        <v>724</v>
      </c>
      <c r="D918" s="3" t="s">
        <v>23</v>
      </c>
      <c r="E918" s="3" t="s">
        <v>19</v>
      </c>
      <c r="F918" s="3" t="s">
        <v>41</v>
      </c>
      <c r="G918" s="3" t="s">
        <v>21</v>
      </c>
      <c r="H918" s="3" t="n">
        <v>1</v>
      </c>
      <c r="I918" s="3" t="n">
        <v>1</v>
      </c>
      <c r="J918" s="3" t="n">
        <v>1</v>
      </c>
      <c r="K918" s="3" t="n">
        <v>0</v>
      </c>
      <c r="L918" s="3" t="n">
        <v>0</v>
      </c>
      <c r="M918" s="3" t="n">
        <v>0</v>
      </c>
      <c r="N918" s="3" t="n">
        <v>0</v>
      </c>
      <c r="O918" s="3"/>
      <c r="P918" s="3" t="n">
        <v>70.6</v>
      </c>
    </row>
    <row r="919" customFormat="false" ht="15" hidden="false" customHeight="false" outlineLevel="0" collapsed="false">
      <c r="A919" s="3" t="s">
        <v>951</v>
      </c>
      <c r="B919" s="4" t="n">
        <v>45705</v>
      </c>
      <c r="C919" s="3" t="s">
        <v>724</v>
      </c>
      <c r="D919" s="3" t="s">
        <v>32</v>
      </c>
      <c r="E919" s="3" t="s">
        <v>19</v>
      </c>
      <c r="F919" s="3" t="s">
        <v>25</v>
      </c>
      <c r="G919" s="3" t="s">
        <v>21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/>
      <c r="P919" s="3" t="n">
        <v>58.4</v>
      </c>
    </row>
    <row r="920" customFormat="false" ht="15" hidden="false" customHeight="false" outlineLevel="0" collapsed="false">
      <c r="A920" s="3" t="s">
        <v>952</v>
      </c>
      <c r="B920" s="4" t="n">
        <v>45798</v>
      </c>
      <c r="C920" s="3" t="s">
        <v>724</v>
      </c>
      <c r="D920" s="3" t="s">
        <v>28</v>
      </c>
      <c r="E920" s="3" t="s">
        <v>24</v>
      </c>
      <c r="F920" s="3" t="s">
        <v>25</v>
      </c>
      <c r="G920" s="3" t="s">
        <v>21</v>
      </c>
      <c r="H920" s="3" t="n">
        <v>1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0</v>
      </c>
      <c r="O920" s="3"/>
      <c r="P920" s="3" t="n">
        <v>56.6</v>
      </c>
    </row>
    <row r="921" customFormat="false" ht="15" hidden="false" customHeight="false" outlineLevel="0" collapsed="false">
      <c r="A921" s="3" t="s">
        <v>953</v>
      </c>
      <c r="B921" s="4" t="n">
        <v>45687</v>
      </c>
      <c r="C921" s="3" t="s">
        <v>724</v>
      </c>
      <c r="D921" s="3" t="s">
        <v>32</v>
      </c>
      <c r="E921" s="3" t="s">
        <v>24</v>
      </c>
      <c r="F921" s="3" t="s">
        <v>25</v>
      </c>
      <c r="G921" s="3" t="s">
        <v>26</v>
      </c>
      <c r="H921" s="3" t="n">
        <v>1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/>
      <c r="P921" s="3" t="n">
        <v>61.8</v>
      </c>
    </row>
    <row r="922" customFormat="false" ht="15" hidden="false" customHeight="false" outlineLevel="0" collapsed="false">
      <c r="A922" s="3" t="s">
        <v>954</v>
      </c>
      <c r="B922" s="4" t="n">
        <v>45736</v>
      </c>
      <c r="C922" s="3" t="s">
        <v>724</v>
      </c>
      <c r="D922" s="3" t="s">
        <v>23</v>
      </c>
      <c r="E922" s="3" t="s">
        <v>24</v>
      </c>
      <c r="F922" s="3" t="s">
        <v>20</v>
      </c>
      <c r="G922" s="3" t="s">
        <v>26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513.52</v>
      </c>
      <c r="M922" s="3" t="n">
        <v>0</v>
      </c>
      <c r="N922" s="3" t="n">
        <v>0</v>
      </c>
      <c r="O922" s="3" t="n">
        <v>8</v>
      </c>
      <c r="P922" s="3" t="n">
        <v>43.4</v>
      </c>
    </row>
    <row r="923" customFormat="false" ht="15" hidden="false" customHeight="false" outlineLevel="0" collapsed="false">
      <c r="A923" s="3" t="s">
        <v>955</v>
      </c>
      <c r="B923" s="4" t="n">
        <v>45757</v>
      </c>
      <c r="C923" s="3" t="s">
        <v>724</v>
      </c>
      <c r="D923" s="3" t="s">
        <v>23</v>
      </c>
      <c r="E923" s="3" t="s">
        <v>34</v>
      </c>
      <c r="F923" s="3" t="s">
        <v>29</v>
      </c>
      <c r="G923" s="3" t="s">
        <v>26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/>
      <c r="P923" s="3" t="n">
        <v>43</v>
      </c>
    </row>
    <row r="924" customFormat="false" ht="15" hidden="false" customHeight="false" outlineLevel="0" collapsed="false">
      <c r="A924" s="3" t="s">
        <v>956</v>
      </c>
      <c r="B924" s="4" t="n">
        <v>45723</v>
      </c>
      <c r="C924" s="3" t="s">
        <v>724</v>
      </c>
      <c r="D924" s="3" t="s">
        <v>18</v>
      </c>
      <c r="E924" s="3" t="s">
        <v>19</v>
      </c>
      <c r="F924" s="3" t="s">
        <v>25</v>
      </c>
      <c r="G924" s="3" t="s">
        <v>26</v>
      </c>
      <c r="H924" s="3" t="n">
        <v>1</v>
      </c>
      <c r="I924" s="3" t="n">
        <v>1</v>
      </c>
      <c r="J924" s="3" t="n">
        <v>1</v>
      </c>
      <c r="K924" s="3" t="n">
        <v>0</v>
      </c>
      <c r="L924" s="3" t="n">
        <v>0</v>
      </c>
      <c r="M924" s="3" t="n">
        <v>0</v>
      </c>
      <c r="N924" s="3" t="n">
        <v>0</v>
      </c>
      <c r="O924" s="3"/>
      <c r="P924" s="3" t="n">
        <v>51.1</v>
      </c>
    </row>
    <row r="925" customFormat="false" ht="15" hidden="false" customHeight="false" outlineLevel="0" collapsed="false">
      <c r="A925" s="3" t="s">
        <v>957</v>
      </c>
      <c r="B925" s="4" t="n">
        <v>45728</v>
      </c>
      <c r="C925" s="3" t="s">
        <v>724</v>
      </c>
      <c r="D925" s="3" t="s">
        <v>23</v>
      </c>
      <c r="E925" s="3" t="s">
        <v>24</v>
      </c>
      <c r="F925" s="3" t="s">
        <v>20</v>
      </c>
      <c r="G925" s="3" t="s">
        <v>21</v>
      </c>
      <c r="H925" s="3" t="n">
        <v>1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/>
      <c r="P925" s="3" t="n">
        <v>48.8</v>
      </c>
    </row>
    <row r="926" customFormat="false" ht="15" hidden="false" customHeight="false" outlineLevel="0" collapsed="false">
      <c r="A926" s="3" t="s">
        <v>958</v>
      </c>
      <c r="B926" s="4" t="n">
        <v>45712</v>
      </c>
      <c r="C926" s="3" t="s">
        <v>724</v>
      </c>
      <c r="D926" s="3" t="s">
        <v>28</v>
      </c>
      <c r="E926" s="3" t="s">
        <v>24</v>
      </c>
      <c r="F926" s="3" t="s">
        <v>39</v>
      </c>
      <c r="G926" s="3" t="s">
        <v>26</v>
      </c>
      <c r="H926" s="3" t="n">
        <v>0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0</v>
      </c>
      <c r="O926" s="3"/>
      <c r="P926" s="3" t="n">
        <v>73.2</v>
      </c>
    </row>
    <row r="927" customFormat="false" ht="15" hidden="false" customHeight="false" outlineLevel="0" collapsed="false">
      <c r="A927" s="3" t="s">
        <v>959</v>
      </c>
      <c r="B927" s="4" t="n">
        <v>45672</v>
      </c>
      <c r="C927" s="3" t="s">
        <v>724</v>
      </c>
      <c r="D927" s="3" t="s">
        <v>28</v>
      </c>
      <c r="E927" s="3" t="s">
        <v>24</v>
      </c>
      <c r="F927" s="3" t="s">
        <v>39</v>
      </c>
      <c r="G927" s="3" t="s">
        <v>26</v>
      </c>
      <c r="H927" s="3" t="n">
        <v>1</v>
      </c>
      <c r="I927" s="3" t="n">
        <v>1</v>
      </c>
      <c r="J927" s="3" t="n">
        <v>1</v>
      </c>
      <c r="K927" s="3" t="n">
        <v>0</v>
      </c>
      <c r="L927" s="3" t="n">
        <v>0</v>
      </c>
      <c r="M927" s="3" t="n">
        <v>0</v>
      </c>
      <c r="N927" s="3" t="n">
        <v>0</v>
      </c>
      <c r="O927" s="3"/>
      <c r="P927" s="3" t="n">
        <v>80</v>
      </c>
    </row>
    <row r="928" customFormat="false" ht="15" hidden="false" customHeight="false" outlineLevel="0" collapsed="false">
      <c r="A928" s="3" t="s">
        <v>960</v>
      </c>
      <c r="B928" s="4" t="n">
        <v>45664</v>
      </c>
      <c r="C928" s="3" t="s">
        <v>724</v>
      </c>
      <c r="D928" s="3" t="s">
        <v>18</v>
      </c>
      <c r="E928" s="3" t="s">
        <v>19</v>
      </c>
      <c r="F928" s="3" t="s">
        <v>29</v>
      </c>
      <c r="G928" s="3" t="s">
        <v>26</v>
      </c>
      <c r="H928" s="3" t="n">
        <v>1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/>
      <c r="P928" s="3" t="n">
        <v>52.3</v>
      </c>
    </row>
    <row r="929" customFormat="false" ht="15" hidden="false" customHeight="false" outlineLevel="0" collapsed="false">
      <c r="A929" s="3" t="s">
        <v>961</v>
      </c>
      <c r="B929" s="4" t="n">
        <v>45718</v>
      </c>
      <c r="C929" s="3" t="s">
        <v>724</v>
      </c>
      <c r="D929" s="3" t="s">
        <v>18</v>
      </c>
      <c r="E929" s="3" t="s">
        <v>19</v>
      </c>
      <c r="F929" s="3" t="s">
        <v>25</v>
      </c>
      <c r="G929" s="3" t="s">
        <v>26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/>
      <c r="P929" s="3" t="n">
        <v>49.1</v>
      </c>
    </row>
    <row r="930" customFormat="false" ht="15" hidden="false" customHeight="false" outlineLevel="0" collapsed="false">
      <c r="A930" s="3" t="s">
        <v>962</v>
      </c>
      <c r="B930" s="4" t="n">
        <v>45662</v>
      </c>
      <c r="C930" s="3" t="s">
        <v>724</v>
      </c>
      <c r="D930" s="3" t="s">
        <v>32</v>
      </c>
      <c r="E930" s="3" t="s">
        <v>19</v>
      </c>
      <c r="F930" s="3" t="s">
        <v>39</v>
      </c>
      <c r="G930" s="3" t="s">
        <v>21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/>
      <c r="P930" s="3" t="n">
        <v>45.3</v>
      </c>
    </row>
    <row r="931" customFormat="false" ht="15" hidden="false" customHeight="false" outlineLevel="0" collapsed="false">
      <c r="A931" s="3" t="s">
        <v>963</v>
      </c>
      <c r="B931" s="4" t="n">
        <v>45719</v>
      </c>
      <c r="C931" s="3" t="s">
        <v>724</v>
      </c>
      <c r="D931" s="3" t="s">
        <v>32</v>
      </c>
      <c r="E931" s="3" t="s">
        <v>24</v>
      </c>
      <c r="F931" s="3" t="s">
        <v>25</v>
      </c>
      <c r="G931" s="3" t="s">
        <v>26</v>
      </c>
      <c r="H931" s="3" t="n">
        <v>1</v>
      </c>
      <c r="I931" s="3" t="n">
        <v>1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/>
      <c r="P931" s="3" t="n">
        <v>49.1</v>
      </c>
    </row>
    <row r="932" customFormat="false" ht="15" hidden="false" customHeight="false" outlineLevel="0" collapsed="false">
      <c r="A932" s="3" t="s">
        <v>964</v>
      </c>
      <c r="B932" s="4" t="n">
        <v>45747</v>
      </c>
      <c r="C932" s="3" t="s">
        <v>724</v>
      </c>
      <c r="D932" s="3" t="s">
        <v>28</v>
      </c>
      <c r="E932" s="3" t="s">
        <v>19</v>
      </c>
      <c r="F932" s="3" t="s">
        <v>39</v>
      </c>
      <c r="G932" s="3" t="s">
        <v>26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476.44</v>
      </c>
      <c r="M932" s="3" t="n">
        <v>0</v>
      </c>
      <c r="N932" s="3" t="n">
        <v>0</v>
      </c>
      <c r="O932" s="3" t="n">
        <v>3</v>
      </c>
      <c r="P932" s="3" t="n">
        <v>88.6</v>
      </c>
    </row>
    <row r="933" customFormat="false" ht="15" hidden="false" customHeight="false" outlineLevel="0" collapsed="false">
      <c r="A933" s="3" t="s">
        <v>965</v>
      </c>
      <c r="B933" s="4" t="n">
        <v>45671</v>
      </c>
      <c r="C933" s="3" t="s">
        <v>724</v>
      </c>
      <c r="D933" s="3" t="s">
        <v>28</v>
      </c>
      <c r="E933" s="3" t="s">
        <v>19</v>
      </c>
      <c r="F933" s="3" t="s">
        <v>29</v>
      </c>
      <c r="G933" s="3" t="s">
        <v>30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1</v>
      </c>
      <c r="N933" s="3" t="n">
        <v>0</v>
      </c>
      <c r="O933" s="3"/>
      <c r="P933" s="3" t="n">
        <v>54.4</v>
      </c>
    </row>
    <row r="934" customFormat="false" ht="15" hidden="false" customHeight="false" outlineLevel="0" collapsed="false">
      <c r="A934" s="3" t="s">
        <v>966</v>
      </c>
      <c r="B934" s="4" t="n">
        <v>45672</v>
      </c>
      <c r="C934" s="3" t="s">
        <v>724</v>
      </c>
      <c r="D934" s="3" t="s">
        <v>23</v>
      </c>
      <c r="E934" s="3" t="s">
        <v>19</v>
      </c>
      <c r="F934" s="3" t="s">
        <v>29</v>
      </c>
      <c r="G934" s="3" t="s">
        <v>30</v>
      </c>
      <c r="H934" s="3" t="n">
        <v>1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/>
      <c r="P934" s="3" t="n">
        <v>72.9</v>
      </c>
    </row>
    <row r="935" customFormat="false" ht="15" hidden="false" customHeight="false" outlineLevel="0" collapsed="false">
      <c r="A935" s="3" t="s">
        <v>967</v>
      </c>
      <c r="B935" s="4" t="n">
        <v>45772</v>
      </c>
      <c r="C935" s="3" t="s">
        <v>724</v>
      </c>
      <c r="D935" s="3" t="s">
        <v>23</v>
      </c>
      <c r="E935" s="3" t="s">
        <v>19</v>
      </c>
      <c r="F935" s="3" t="s">
        <v>25</v>
      </c>
      <c r="G935" s="3" t="s">
        <v>26</v>
      </c>
      <c r="H935" s="3" t="n">
        <v>1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/>
      <c r="P935" s="3" t="n">
        <v>53.2</v>
      </c>
    </row>
    <row r="936" customFormat="false" ht="15" hidden="false" customHeight="false" outlineLevel="0" collapsed="false">
      <c r="A936" s="3" t="s">
        <v>968</v>
      </c>
      <c r="B936" s="4" t="n">
        <v>45737</v>
      </c>
      <c r="C936" s="3" t="s">
        <v>724</v>
      </c>
      <c r="D936" s="3" t="s">
        <v>28</v>
      </c>
      <c r="E936" s="3" t="s">
        <v>24</v>
      </c>
      <c r="F936" s="3" t="s">
        <v>25</v>
      </c>
      <c r="G936" s="3" t="s">
        <v>21</v>
      </c>
      <c r="H936" s="3" t="n">
        <v>1</v>
      </c>
      <c r="I936" s="3" t="n">
        <v>1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0</v>
      </c>
      <c r="O936" s="3"/>
      <c r="P936" s="3" t="n">
        <v>48.7</v>
      </c>
    </row>
    <row r="937" customFormat="false" ht="15" hidden="false" customHeight="false" outlineLevel="0" collapsed="false">
      <c r="A937" s="3" t="s">
        <v>969</v>
      </c>
      <c r="B937" s="4" t="n">
        <v>45773</v>
      </c>
      <c r="C937" s="3" t="s">
        <v>724</v>
      </c>
      <c r="D937" s="3" t="s">
        <v>32</v>
      </c>
      <c r="E937" s="3" t="s">
        <v>24</v>
      </c>
      <c r="F937" s="3" t="s">
        <v>29</v>
      </c>
      <c r="G937" s="3" t="s">
        <v>21</v>
      </c>
      <c r="H937" s="3" t="n">
        <v>1</v>
      </c>
      <c r="I937" s="3" t="n">
        <v>1</v>
      </c>
      <c r="J937" s="3" t="n">
        <v>1</v>
      </c>
      <c r="K937" s="3" t="n">
        <v>0</v>
      </c>
      <c r="L937" s="3" t="n">
        <v>0</v>
      </c>
      <c r="M937" s="3" t="n">
        <v>0</v>
      </c>
      <c r="N937" s="3" t="n">
        <v>0</v>
      </c>
      <c r="O937" s="3"/>
      <c r="P937" s="3" t="n">
        <v>59.9</v>
      </c>
    </row>
    <row r="938" customFormat="false" ht="15" hidden="false" customHeight="false" outlineLevel="0" collapsed="false">
      <c r="A938" s="3" t="s">
        <v>970</v>
      </c>
      <c r="B938" s="4" t="n">
        <v>45798</v>
      </c>
      <c r="C938" s="3" t="s">
        <v>724</v>
      </c>
      <c r="D938" s="3" t="s">
        <v>32</v>
      </c>
      <c r="E938" s="3" t="s">
        <v>19</v>
      </c>
      <c r="F938" s="3" t="s">
        <v>156</v>
      </c>
      <c r="G938" s="3" t="s">
        <v>21</v>
      </c>
      <c r="H938" s="3" t="n">
        <v>0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0</v>
      </c>
      <c r="O938" s="3"/>
      <c r="P938" s="3" t="n">
        <v>82</v>
      </c>
    </row>
    <row r="939" customFormat="false" ht="15" hidden="false" customHeight="false" outlineLevel="0" collapsed="false">
      <c r="A939" s="3" t="s">
        <v>971</v>
      </c>
      <c r="B939" s="4" t="n">
        <v>45765</v>
      </c>
      <c r="C939" s="3" t="s">
        <v>724</v>
      </c>
      <c r="D939" s="3" t="s">
        <v>28</v>
      </c>
      <c r="E939" s="3" t="s">
        <v>24</v>
      </c>
      <c r="F939" s="3" t="s">
        <v>29</v>
      </c>
      <c r="G939" s="3" t="s">
        <v>26</v>
      </c>
      <c r="H939" s="3" t="n">
        <v>0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0</v>
      </c>
      <c r="O939" s="3"/>
      <c r="P939" s="3" t="n">
        <v>72.1</v>
      </c>
    </row>
    <row r="940" customFormat="false" ht="15" hidden="false" customHeight="false" outlineLevel="0" collapsed="false">
      <c r="A940" s="3" t="s">
        <v>972</v>
      </c>
      <c r="B940" s="4" t="n">
        <v>45686</v>
      </c>
      <c r="C940" s="3" t="s">
        <v>724</v>
      </c>
      <c r="D940" s="3" t="s">
        <v>18</v>
      </c>
      <c r="E940" s="3" t="s">
        <v>19</v>
      </c>
      <c r="F940" s="3" t="s">
        <v>20</v>
      </c>
      <c r="G940" s="3" t="s">
        <v>30</v>
      </c>
      <c r="H940" s="3" t="n">
        <v>1</v>
      </c>
      <c r="I940" s="3" t="n">
        <v>1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/>
      <c r="P940" s="3" t="n">
        <v>68.3</v>
      </c>
    </row>
    <row r="941" customFormat="false" ht="15" hidden="false" customHeight="false" outlineLevel="0" collapsed="false">
      <c r="A941" s="3" t="s">
        <v>973</v>
      </c>
      <c r="B941" s="4" t="n">
        <v>45805</v>
      </c>
      <c r="C941" s="3" t="s">
        <v>724</v>
      </c>
      <c r="D941" s="3" t="s">
        <v>23</v>
      </c>
      <c r="E941" s="3" t="s">
        <v>24</v>
      </c>
      <c r="F941" s="3" t="s">
        <v>25</v>
      </c>
      <c r="G941" s="3" t="s">
        <v>30</v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/>
      <c r="P941" s="3" t="n">
        <v>100</v>
      </c>
    </row>
    <row r="942" customFormat="false" ht="15" hidden="false" customHeight="false" outlineLevel="0" collapsed="false">
      <c r="A942" s="3" t="s">
        <v>974</v>
      </c>
      <c r="B942" s="4" t="n">
        <v>45672</v>
      </c>
      <c r="C942" s="3" t="s">
        <v>724</v>
      </c>
      <c r="D942" s="3" t="s">
        <v>28</v>
      </c>
      <c r="E942" s="3" t="s">
        <v>24</v>
      </c>
      <c r="F942" s="3" t="s">
        <v>20</v>
      </c>
      <c r="G942" s="3" t="s">
        <v>26</v>
      </c>
      <c r="H942" s="3" t="n">
        <v>1</v>
      </c>
      <c r="I942" s="3" t="n">
        <v>1</v>
      </c>
      <c r="J942" s="3" t="n">
        <v>1</v>
      </c>
      <c r="K942" s="3" t="n">
        <v>0</v>
      </c>
      <c r="L942" s="3" t="n">
        <v>0</v>
      </c>
      <c r="M942" s="3" t="n">
        <v>2</v>
      </c>
      <c r="N942" s="3" t="n">
        <v>0</v>
      </c>
      <c r="O942" s="3"/>
      <c r="P942" s="3" t="n">
        <v>76.5</v>
      </c>
    </row>
    <row r="943" customFormat="false" ht="15" hidden="false" customHeight="false" outlineLevel="0" collapsed="false">
      <c r="A943" s="3" t="s">
        <v>975</v>
      </c>
      <c r="B943" s="4" t="n">
        <v>45660</v>
      </c>
      <c r="C943" s="3" t="s">
        <v>724</v>
      </c>
      <c r="D943" s="3" t="s">
        <v>32</v>
      </c>
      <c r="E943" s="3" t="s">
        <v>24</v>
      </c>
      <c r="F943" s="3" t="s">
        <v>25</v>
      </c>
      <c r="G943" s="3" t="s">
        <v>21</v>
      </c>
      <c r="H943" s="3" t="n">
        <v>1</v>
      </c>
      <c r="I943" s="3" t="n">
        <v>1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/>
      <c r="P943" s="3" t="n">
        <v>62</v>
      </c>
    </row>
    <row r="944" customFormat="false" ht="15" hidden="false" customHeight="false" outlineLevel="0" collapsed="false">
      <c r="A944" s="3" t="s">
        <v>976</v>
      </c>
      <c r="B944" s="4" t="n">
        <v>45692</v>
      </c>
      <c r="C944" s="3" t="s">
        <v>724</v>
      </c>
      <c r="D944" s="3" t="s">
        <v>32</v>
      </c>
      <c r="E944" s="3" t="s">
        <v>24</v>
      </c>
      <c r="F944" s="3" t="s">
        <v>29</v>
      </c>
      <c r="G944" s="3" t="s">
        <v>26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324.68</v>
      </c>
      <c r="M944" s="3" t="n">
        <v>1</v>
      </c>
      <c r="N944" s="3" t="n">
        <v>0</v>
      </c>
      <c r="O944" s="3" t="n">
        <v>7</v>
      </c>
      <c r="P944" s="3" t="n">
        <v>50.1</v>
      </c>
    </row>
    <row r="945" customFormat="false" ht="15" hidden="false" customHeight="false" outlineLevel="0" collapsed="false">
      <c r="A945" s="3" t="s">
        <v>977</v>
      </c>
      <c r="B945" s="4" t="n">
        <v>45710</v>
      </c>
      <c r="C945" s="3" t="s">
        <v>724</v>
      </c>
      <c r="D945" s="3" t="s">
        <v>32</v>
      </c>
      <c r="E945" s="3" t="s">
        <v>24</v>
      </c>
      <c r="F945" s="3" t="s">
        <v>39</v>
      </c>
      <c r="G945" s="3" t="s">
        <v>30</v>
      </c>
      <c r="H945" s="3" t="n">
        <v>1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0</v>
      </c>
      <c r="O945" s="3"/>
      <c r="P945" s="3" t="n">
        <v>62.1</v>
      </c>
    </row>
    <row r="946" customFormat="false" ht="15" hidden="false" customHeight="false" outlineLevel="0" collapsed="false">
      <c r="A946" s="3" t="s">
        <v>978</v>
      </c>
      <c r="B946" s="4" t="n">
        <v>45783</v>
      </c>
      <c r="C946" s="3" t="s">
        <v>724</v>
      </c>
      <c r="D946" s="3" t="s">
        <v>23</v>
      </c>
      <c r="E946" s="3" t="s">
        <v>24</v>
      </c>
      <c r="F946" s="3" t="s">
        <v>25</v>
      </c>
      <c r="G946" s="3" t="s">
        <v>21</v>
      </c>
      <c r="H946" s="3" t="n">
        <v>1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/>
      <c r="P946" s="3" t="n">
        <v>49.7</v>
      </c>
    </row>
    <row r="947" customFormat="false" ht="15" hidden="false" customHeight="false" outlineLevel="0" collapsed="false">
      <c r="A947" s="3" t="s">
        <v>979</v>
      </c>
      <c r="B947" s="4" t="n">
        <v>45688</v>
      </c>
      <c r="C947" s="3" t="s">
        <v>724</v>
      </c>
      <c r="D947" s="3" t="s">
        <v>32</v>
      </c>
      <c r="E947" s="3" t="s">
        <v>24</v>
      </c>
      <c r="F947" s="3" t="s">
        <v>25</v>
      </c>
      <c r="G947" s="3" t="s">
        <v>26</v>
      </c>
      <c r="H947" s="3" t="n">
        <v>1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3</v>
      </c>
      <c r="N947" s="3" t="n">
        <v>0</v>
      </c>
      <c r="O947" s="3"/>
      <c r="P947" s="3" t="n">
        <v>71.1</v>
      </c>
    </row>
    <row r="948" customFormat="false" ht="15" hidden="false" customHeight="false" outlineLevel="0" collapsed="false">
      <c r="A948" s="3" t="s">
        <v>980</v>
      </c>
      <c r="B948" s="4" t="n">
        <v>45706</v>
      </c>
      <c r="C948" s="3" t="s">
        <v>724</v>
      </c>
      <c r="D948" s="3" t="s">
        <v>18</v>
      </c>
      <c r="E948" s="3" t="s">
        <v>24</v>
      </c>
      <c r="F948" s="3" t="s">
        <v>41</v>
      </c>
      <c r="G948" s="3" t="s">
        <v>21</v>
      </c>
      <c r="H948" s="3" t="n">
        <v>0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0</v>
      </c>
      <c r="O948" s="3"/>
      <c r="P948" s="3" t="n">
        <v>70.8</v>
      </c>
    </row>
    <row r="949" customFormat="false" ht="15" hidden="false" customHeight="false" outlineLevel="0" collapsed="false">
      <c r="A949" s="3" t="s">
        <v>981</v>
      </c>
      <c r="B949" s="4" t="n">
        <v>45770</v>
      </c>
      <c r="C949" s="3" t="s">
        <v>724</v>
      </c>
      <c r="D949" s="3" t="s">
        <v>28</v>
      </c>
      <c r="E949" s="3" t="s">
        <v>24</v>
      </c>
      <c r="F949" s="3" t="s">
        <v>29</v>
      </c>
      <c r="G949" s="3" t="s">
        <v>26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301.98</v>
      </c>
      <c r="M949" s="3" t="n">
        <v>0</v>
      </c>
      <c r="N949" s="3" t="n">
        <v>0</v>
      </c>
      <c r="O949" s="3" t="n">
        <v>10</v>
      </c>
      <c r="P949" s="3" t="n">
        <v>52.2</v>
      </c>
    </row>
    <row r="950" customFormat="false" ht="15" hidden="false" customHeight="false" outlineLevel="0" collapsed="false">
      <c r="A950" s="3" t="s">
        <v>982</v>
      </c>
      <c r="B950" s="4" t="n">
        <v>45694</v>
      </c>
      <c r="C950" s="3" t="s">
        <v>724</v>
      </c>
      <c r="D950" s="3" t="s">
        <v>18</v>
      </c>
      <c r="E950" s="3" t="s">
        <v>24</v>
      </c>
      <c r="F950" s="3" t="s">
        <v>25</v>
      </c>
      <c r="G950" s="3" t="s">
        <v>26</v>
      </c>
      <c r="H950" s="3" t="n">
        <v>1</v>
      </c>
      <c r="I950" s="3" t="n">
        <v>1</v>
      </c>
      <c r="J950" s="3" t="n">
        <v>1</v>
      </c>
      <c r="K950" s="3" t="n">
        <v>0</v>
      </c>
      <c r="L950" s="3" t="n">
        <v>0</v>
      </c>
      <c r="M950" s="3" t="n">
        <v>0</v>
      </c>
      <c r="N950" s="3" t="n">
        <v>0</v>
      </c>
      <c r="O950" s="3"/>
      <c r="P950" s="3" t="n">
        <v>73</v>
      </c>
    </row>
    <row r="951" customFormat="false" ht="15" hidden="false" customHeight="false" outlineLevel="0" collapsed="false">
      <c r="A951" s="3" t="s">
        <v>983</v>
      </c>
      <c r="B951" s="4" t="n">
        <v>45773</v>
      </c>
      <c r="C951" s="3" t="s">
        <v>724</v>
      </c>
      <c r="D951" s="3" t="s">
        <v>32</v>
      </c>
      <c r="E951" s="3" t="s">
        <v>19</v>
      </c>
      <c r="F951" s="3" t="s">
        <v>29</v>
      </c>
      <c r="G951" s="3" t="s">
        <v>26</v>
      </c>
      <c r="H951" s="3" t="n">
        <v>0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0</v>
      </c>
      <c r="O951" s="3"/>
      <c r="P951" s="3" t="n">
        <v>78.2</v>
      </c>
    </row>
    <row r="952" customFormat="false" ht="15" hidden="false" customHeight="false" outlineLevel="0" collapsed="false">
      <c r="A952" s="3" t="s">
        <v>984</v>
      </c>
      <c r="B952" s="4" t="n">
        <v>45746</v>
      </c>
      <c r="C952" s="3" t="s">
        <v>724</v>
      </c>
      <c r="D952" s="3" t="s">
        <v>23</v>
      </c>
      <c r="E952" s="3" t="s">
        <v>19</v>
      </c>
      <c r="F952" s="3" t="s">
        <v>29</v>
      </c>
      <c r="G952" s="3" t="s">
        <v>21</v>
      </c>
      <c r="H952" s="3" t="n">
        <v>1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/>
      <c r="P952" s="3" t="n">
        <v>68.8</v>
      </c>
    </row>
    <row r="953" customFormat="false" ht="15" hidden="false" customHeight="false" outlineLevel="0" collapsed="false">
      <c r="A953" s="3" t="s">
        <v>985</v>
      </c>
      <c r="B953" s="4" t="n">
        <v>45760</v>
      </c>
      <c r="C953" s="3" t="s">
        <v>724</v>
      </c>
      <c r="D953" s="3" t="s">
        <v>23</v>
      </c>
      <c r="E953" s="3" t="s">
        <v>24</v>
      </c>
      <c r="F953" s="3" t="s">
        <v>156</v>
      </c>
      <c r="G953" s="3" t="s">
        <v>30</v>
      </c>
      <c r="H953" s="3" t="n">
        <v>1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/>
      <c r="P953" s="3" t="n">
        <v>57.1</v>
      </c>
    </row>
    <row r="954" customFormat="false" ht="15" hidden="false" customHeight="false" outlineLevel="0" collapsed="false">
      <c r="A954" s="3" t="s">
        <v>986</v>
      </c>
      <c r="B954" s="4" t="n">
        <v>45751</v>
      </c>
      <c r="C954" s="3" t="s">
        <v>724</v>
      </c>
      <c r="D954" s="3" t="s">
        <v>28</v>
      </c>
      <c r="E954" s="3" t="s">
        <v>19</v>
      </c>
      <c r="F954" s="3" t="s">
        <v>25</v>
      </c>
      <c r="G954" s="3" t="s">
        <v>30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1</v>
      </c>
      <c r="N954" s="3" t="n">
        <v>0</v>
      </c>
      <c r="O954" s="3"/>
      <c r="P954" s="3" t="n">
        <v>74.6</v>
      </c>
    </row>
    <row r="955" customFormat="false" ht="15" hidden="false" customHeight="false" outlineLevel="0" collapsed="false">
      <c r="A955" s="3" t="s">
        <v>987</v>
      </c>
      <c r="B955" s="4" t="n">
        <v>45750</v>
      </c>
      <c r="C955" s="3" t="s">
        <v>724</v>
      </c>
      <c r="D955" s="3" t="s">
        <v>18</v>
      </c>
      <c r="E955" s="3" t="s">
        <v>19</v>
      </c>
      <c r="F955" s="3" t="s">
        <v>39</v>
      </c>
      <c r="G955" s="3" t="s">
        <v>26</v>
      </c>
      <c r="H955" s="3" t="n">
        <v>1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1</v>
      </c>
      <c r="N955" s="3" t="n">
        <v>0</v>
      </c>
      <c r="O955" s="3"/>
      <c r="P955" s="3" t="n">
        <v>64.1</v>
      </c>
    </row>
    <row r="956" customFormat="false" ht="15" hidden="false" customHeight="false" outlineLevel="0" collapsed="false">
      <c r="A956" s="3" t="s">
        <v>988</v>
      </c>
      <c r="B956" s="4" t="n">
        <v>45730</v>
      </c>
      <c r="C956" s="3" t="s">
        <v>724</v>
      </c>
      <c r="D956" s="3" t="s">
        <v>23</v>
      </c>
      <c r="E956" s="3" t="s">
        <v>24</v>
      </c>
      <c r="F956" s="3" t="s">
        <v>29</v>
      </c>
      <c r="G956" s="3" t="s">
        <v>30</v>
      </c>
      <c r="H956" s="3" t="n">
        <v>1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/>
      <c r="P956" s="3" t="n">
        <v>67.3</v>
      </c>
    </row>
    <row r="957" customFormat="false" ht="15" hidden="false" customHeight="false" outlineLevel="0" collapsed="false">
      <c r="A957" s="3" t="s">
        <v>989</v>
      </c>
      <c r="B957" s="4" t="n">
        <v>45671</v>
      </c>
      <c r="C957" s="3" t="s">
        <v>724</v>
      </c>
      <c r="D957" s="3" t="s">
        <v>23</v>
      </c>
      <c r="E957" s="3" t="s">
        <v>24</v>
      </c>
      <c r="F957" s="3" t="s">
        <v>39</v>
      </c>
      <c r="G957" s="3" t="s">
        <v>26</v>
      </c>
      <c r="H957" s="3" t="n">
        <v>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2</v>
      </c>
      <c r="N957" s="3" t="n">
        <v>0</v>
      </c>
      <c r="O957" s="3"/>
      <c r="P957" s="3" t="n">
        <v>41</v>
      </c>
    </row>
    <row r="958" customFormat="false" ht="15" hidden="false" customHeight="false" outlineLevel="0" collapsed="false">
      <c r="A958" s="3" t="s">
        <v>990</v>
      </c>
      <c r="B958" s="4" t="n">
        <v>45782</v>
      </c>
      <c r="C958" s="3" t="s">
        <v>724</v>
      </c>
      <c r="D958" s="3" t="s">
        <v>23</v>
      </c>
      <c r="E958" s="3" t="s">
        <v>24</v>
      </c>
      <c r="F958" s="3" t="s">
        <v>29</v>
      </c>
      <c r="G958" s="3" t="s">
        <v>26</v>
      </c>
      <c r="H958" s="3" t="n">
        <v>0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0</v>
      </c>
      <c r="O958" s="3"/>
      <c r="P958" s="3" t="n">
        <v>48.1</v>
      </c>
    </row>
    <row r="959" customFormat="false" ht="15" hidden="false" customHeight="false" outlineLevel="0" collapsed="false">
      <c r="A959" s="3" t="s">
        <v>991</v>
      </c>
      <c r="B959" s="4" t="n">
        <v>45779</v>
      </c>
      <c r="C959" s="3" t="s">
        <v>724</v>
      </c>
      <c r="D959" s="3" t="s">
        <v>23</v>
      </c>
      <c r="E959" s="3" t="s">
        <v>19</v>
      </c>
      <c r="F959" s="3" t="s">
        <v>41</v>
      </c>
      <c r="G959" s="3" t="s">
        <v>26</v>
      </c>
      <c r="H959" s="3" t="n">
        <v>0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1</v>
      </c>
      <c r="N959" s="3" t="n">
        <v>0</v>
      </c>
      <c r="O959" s="3"/>
      <c r="P959" s="3" t="n">
        <v>60.8</v>
      </c>
    </row>
    <row r="960" customFormat="false" ht="15" hidden="false" customHeight="false" outlineLevel="0" collapsed="false">
      <c r="A960" s="3" t="s">
        <v>992</v>
      </c>
      <c r="B960" s="4" t="n">
        <v>45798</v>
      </c>
      <c r="C960" s="3" t="s">
        <v>724</v>
      </c>
      <c r="D960" s="3" t="s">
        <v>28</v>
      </c>
      <c r="E960" s="3" t="s">
        <v>24</v>
      </c>
      <c r="F960" s="3" t="s">
        <v>25</v>
      </c>
      <c r="G960" s="3" t="s">
        <v>26</v>
      </c>
      <c r="H960" s="3" t="n">
        <v>1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0</v>
      </c>
      <c r="O960" s="3"/>
      <c r="P960" s="3" t="n">
        <v>63.1</v>
      </c>
    </row>
    <row r="961" customFormat="false" ht="15" hidden="false" customHeight="false" outlineLevel="0" collapsed="false">
      <c r="A961" s="3" t="s">
        <v>993</v>
      </c>
      <c r="B961" s="4" t="n">
        <v>45793</v>
      </c>
      <c r="C961" s="3" t="s">
        <v>724</v>
      </c>
      <c r="D961" s="3" t="s">
        <v>18</v>
      </c>
      <c r="E961" s="3" t="s">
        <v>24</v>
      </c>
      <c r="F961" s="3" t="s">
        <v>39</v>
      </c>
      <c r="G961" s="3" t="s">
        <v>30</v>
      </c>
      <c r="H961" s="3" t="n">
        <v>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2</v>
      </c>
      <c r="N961" s="3" t="n">
        <v>0</v>
      </c>
      <c r="O961" s="3"/>
      <c r="P961" s="3" t="n">
        <v>49.7</v>
      </c>
    </row>
    <row r="962" customFormat="false" ht="15" hidden="false" customHeight="false" outlineLevel="0" collapsed="false">
      <c r="A962" s="3" t="s">
        <v>994</v>
      </c>
      <c r="B962" s="4" t="n">
        <v>45801</v>
      </c>
      <c r="C962" s="3" t="s">
        <v>724</v>
      </c>
      <c r="D962" s="3" t="s">
        <v>28</v>
      </c>
      <c r="E962" s="3" t="s">
        <v>19</v>
      </c>
      <c r="F962" s="3" t="s">
        <v>25</v>
      </c>
      <c r="G962" s="3" t="s">
        <v>30</v>
      </c>
      <c r="H962" s="3" t="n">
        <v>1</v>
      </c>
      <c r="I962" s="3" t="n">
        <v>1</v>
      </c>
      <c r="J962" s="3" t="n">
        <v>1</v>
      </c>
      <c r="K962" s="3" t="n">
        <v>0</v>
      </c>
      <c r="L962" s="3" t="n">
        <v>0</v>
      </c>
      <c r="M962" s="3" t="n">
        <v>1</v>
      </c>
      <c r="N962" s="3" t="n">
        <v>0</v>
      </c>
      <c r="O962" s="3"/>
      <c r="P962" s="3" t="n">
        <v>83.4</v>
      </c>
    </row>
    <row r="963" customFormat="false" ht="15" hidden="false" customHeight="false" outlineLevel="0" collapsed="false">
      <c r="A963" s="3" t="s">
        <v>995</v>
      </c>
      <c r="B963" s="4" t="n">
        <v>45734</v>
      </c>
      <c r="C963" s="3" t="s">
        <v>724</v>
      </c>
      <c r="D963" s="3" t="s">
        <v>28</v>
      </c>
      <c r="E963" s="3" t="s">
        <v>24</v>
      </c>
      <c r="F963" s="3" t="s">
        <v>25</v>
      </c>
      <c r="G963" s="3" t="s">
        <v>21</v>
      </c>
      <c r="H963" s="3" t="n">
        <v>1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0</v>
      </c>
      <c r="O963" s="3"/>
      <c r="P963" s="3" t="n">
        <v>75.9</v>
      </c>
    </row>
    <row r="964" customFormat="false" ht="15" hidden="false" customHeight="false" outlineLevel="0" collapsed="false">
      <c r="A964" s="3" t="s">
        <v>996</v>
      </c>
      <c r="B964" s="4" t="n">
        <v>45668</v>
      </c>
      <c r="C964" s="3" t="s">
        <v>724</v>
      </c>
      <c r="D964" s="3" t="s">
        <v>28</v>
      </c>
      <c r="E964" s="3" t="s">
        <v>19</v>
      </c>
      <c r="F964" s="3" t="s">
        <v>29</v>
      </c>
      <c r="G964" s="3" t="s">
        <v>26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1</v>
      </c>
      <c r="N964" s="3" t="n">
        <v>0</v>
      </c>
      <c r="O964" s="3"/>
      <c r="P964" s="3" t="n">
        <v>71.8</v>
      </c>
    </row>
    <row r="965" customFormat="false" ht="15" hidden="false" customHeight="false" outlineLevel="0" collapsed="false">
      <c r="A965" s="3" t="s">
        <v>997</v>
      </c>
      <c r="B965" s="4" t="n">
        <v>45697</v>
      </c>
      <c r="C965" s="3" t="s">
        <v>724</v>
      </c>
      <c r="D965" s="3" t="s">
        <v>32</v>
      </c>
      <c r="E965" s="3" t="s">
        <v>24</v>
      </c>
      <c r="F965" s="3" t="s">
        <v>25</v>
      </c>
      <c r="G965" s="3" t="s">
        <v>21</v>
      </c>
      <c r="H965" s="3" t="n">
        <v>0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0</v>
      </c>
      <c r="O965" s="3"/>
      <c r="P965" s="3" t="n">
        <v>37.9</v>
      </c>
    </row>
    <row r="966" customFormat="false" ht="15" hidden="false" customHeight="false" outlineLevel="0" collapsed="false">
      <c r="A966" s="3" t="s">
        <v>998</v>
      </c>
      <c r="B966" s="4" t="n">
        <v>45717</v>
      </c>
      <c r="C966" s="3" t="s">
        <v>724</v>
      </c>
      <c r="D966" s="3" t="s">
        <v>18</v>
      </c>
      <c r="E966" s="3" t="s">
        <v>19</v>
      </c>
      <c r="F966" s="3" t="s">
        <v>41</v>
      </c>
      <c r="G966" s="3" t="s">
        <v>26</v>
      </c>
      <c r="H966" s="3" t="n">
        <v>1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0</v>
      </c>
      <c r="O966" s="3"/>
      <c r="P966" s="3" t="n">
        <v>59.8</v>
      </c>
    </row>
    <row r="967" customFormat="false" ht="15" hidden="false" customHeight="false" outlineLevel="0" collapsed="false">
      <c r="A967" s="3" t="s">
        <v>999</v>
      </c>
      <c r="B967" s="4" t="n">
        <v>45784</v>
      </c>
      <c r="C967" s="3" t="s">
        <v>724</v>
      </c>
      <c r="D967" s="3" t="s">
        <v>18</v>
      </c>
      <c r="E967" s="3" t="s">
        <v>24</v>
      </c>
      <c r="F967" s="3" t="s">
        <v>25</v>
      </c>
      <c r="G967" s="3" t="s">
        <v>21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/>
      <c r="P967" s="3" t="n">
        <v>66.9</v>
      </c>
    </row>
    <row r="968" customFormat="false" ht="15" hidden="false" customHeight="false" outlineLevel="0" collapsed="false">
      <c r="A968" s="3" t="s">
        <v>1000</v>
      </c>
      <c r="B968" s="4" t="n">
        <v>45707</v>
      </c>
      <c r="C968" s="3" t="s">
        <v>724</v>
      </c>
      <c r="D968" s="3" t="s">
        <v>32</v>
      </c>
      <c r="E968" s="3" t="s">
        <v>19</v>
      </c>
      <c r="F968" s="3" t="s">
        <v>156</v>
      </c>
      <c r="G968" s="3" t="s">
        <v>26</v>
      </c>
      <c r="H968" s="3" t="n">
        <v>1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0</v>
      </c>
      <c r="O968" s="3"/>
      <c r="P968" s="3" t="n">
        <v>59</v>
      </c>
    </row>
    <row r="969" customFormat="false" ht="15" hidden="false" customHeight="false" outlineLevel="0" collapsed="false">
      <c r="A969" s="3" t="s">
        <v>1001</v>
      </c>
      <c r="B969" s="4" t="n">
        <v>45714</v>
      </c>
      <c r="C969" s="3" t="s">
        <v>724</v>
      </c>
      <c r="D969" s="3" t="s">
        <v>23</v>
      </c>
      <c r="E969" s="3" t="s">
        <v>24</v>
      </c>
      <c r="F969" s="3" t="s">
        <v>25</v>
      </c>
      <c r="G969" s="3" t="s">
        <v>30</v>
      </c>
      <c r="H969" s="3" t="n">
        <v>1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0</v>
      </c>
      <c r="O969" s="3"/>
      <c r="P969" s="3" t="n">
        <v>80.1</v>
      </c>
    </row>
    <row r="970" customFormat="false" ht="15" hidden="false" customHeight="false" outlineLevel="0" collapsed="false">
      <c r="A970" s="3" t="s">
        <v>1002</v>
      </c>
      <c r="B970" s="4" t="n">
        <v>45739</v>
      </c>
      <c r="C970" s="3" t="s">
        <v>724</v>
      </c>
      <c r="D970" s="3" t="s">
        <v>32</v>
      </c>
      <c r="E970" s="3" t="s">
        <v>24</v>
      </c>
      <c r="F970" s="3" t="s">
        <v>41</v>
      </c>
      <c r="G970" s="3" t="s">
        <v>26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/>
      <c r="P970" s="3" t="n">
        <v>64.3</v>
      </c>
    </row>
    <row r="971" customFormat="false" ht="15" hidden="false" customHeight="false" outlineLevel="0" collapsed="false">
      <c r="A971" s="3" t="s">
        <v>1003</v>
      </c>
      <c r="B971" s="4" t="n">
        <v>45772</v>
      </c>
      <c r="C971" s="3" t="s">
        <v>724</v>
      </c>
      <c r="D971" s="3" t="s">
        <v>32</v>
      </c>
      <c r="E971" s="3" t="s">
        <v>19</v>
      </c>
      <c r="F971" s="3" t="s">
        <v>41</v>
      </c>
      <c r="G971" s="3" t="s">
        <v>26</v>
      </c>
      <c r="H971" s="3" t="n">
        <v>0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1</v>
      </c>
      <c r="N971" s="3" t="n">
        <v>0</v>
      </c>
      <c r="O971" s="3"/>
      <c r="P971" s="3" t="n">
        <v>57.4</v>
      </c>
    </row>
    <row r="972" customFormat="false" ht="15" hidden="false" customHeight="false" outlineLevel="0" collapsed="false">
      <c r="A972" s="3" t="s">
        <v>1004</v>
      </c>
      <c r="B972" s="4" t="n">
        <v>45787</v>
      </c>
      <c r="C972" s="3" t="s">
        <v>724</v>
      </c>
      <c r="D972" s="3" t="s">
        <v>18</v>
      </c>
      <c r="E972" s="3" t="s">
        <v>19</v>
      </c>
      <c r="F972" s="3" t="s">
        <v>41</v>
      </c>
      <c r="G972" s="3" t="s">
        <v>26</v>
      </c>
      <c r="H972" s="3" t="n">
        <v>1</v>
      </c>
      <c r="I972" s="3" t="n">
        <v>1</v>
      </c>
      <c r="J972" s="3" t="n">
        <v>1</v>
      </c>
      <c r="K972" s="3" t="n">
        <v>0</v>
      </c>
      <c r="L972" s="3" t="n">
        <v>0</v>
      </c>
      <c r="M972" s="3" t="n">
        <v>0</v>
      </c>
      <c r="N972" s="3" t="n">
        <v>0</v>
      </c>
      <c r="O972" s="3"/>
      <c r="P972" s="3" t="n">
        <v>83.6</v>
      </c>
    </row>
    <row r="973" customFormat="false" ht="15" hidden="false" customHeight="false" outlineLevel="0" collapsed="false">
      <c r="A973" s="3" t="s">
        <v>1005</v>
      </c>
      <c r="B973" s="4" t="n">
        <v>45769</v>
      </c>
      <c r="C973" s="3" t="s">
        <v>724</v>
      </c>
      <c r="D973" s="3" t="s">
        <v>28</v>
      </c>
      <c r="E973" s="3" t="s">
        <v>24</v>
      </c>
      <c r="F973" s="3" t="s">
        <v>29</v>
      </c>
      <c r="G973" s="3" t="s">
        <v>30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/>
      <c r="P973" s="3" t="n">
        <v>45.8</v>
      </c>
    </row>
    <row r="974" customFormat="false" ht="15" hidden="false" customHeight="false" outlineLevel="0" collapsed="false">
      <c r="A974" s="3" t="s">
        <v>1006</v>
      </c>
      <c r="B974" s="4" t="n">
        <v>45706</v>
      </c>
      <c r="C974" s="3" t="s">
        <v>724</v>
      </c>
      <c r="D974" s="3" t="s">
        <v>23</v>
      </c>
      <c r="E974" s="3" t="s">
        <v>24</v>
      </c>
      <c r="F974" s="3" t="s">
        <v>39</v>
      </c>
      <c r="G974" s="3" t="s">
        <v>21</v>
      </c>
      <c r="H974" s="3" t="n">
        <v>1</v>
      </c>
      <c r="I974" s="3" t="n">
        <v>1</v>
      </c>
      <c r="J974" s="3" t="n">
        <v>1</v>
      </c>
      <c r="K974" s="3" t="n">
        <v>0</v>
      </c>
      <c r="L974" s="3" t="n">
        <v>0</v>
      </c>
      <c r="M974" s="3" t="n">
        <v>0</v>
      </c>
      <c r="N974" s="3" t="n">
        <v>0</v>
      </c>
      <c r="O974" s="3"/>
      <c r="P974" s="3" t="n">
        <v>64.3</v>
      </c>
    </row>
    <row r="975" customFormat="false" ht="15" hidden="false" customHeight="false" outlineLevel="0" collapsed="false">
      <c r="A975" s="3" t="s">
        <v>1007</v>
      </c>
      <c r="B975" s="4" t="n">
        <v>45683</v>
      </c>
      <c r="C975" s="3" t="s">
        <v>724</v>
      </c>
      <c r="D975" s="3" t="s">
        <v>32</v>
      </c>
      <c r="E975" s="3" t="s">
        <v>24</v>
      </c>
      <c r="F975" s="3" t="s">
        <v>29</v>
      </c>
      <c r="G975" s="3" t="s">
        <v>30</v>
      </c>
      <c r="H975" s="3" t="n">
        <v>1</v>
      </c>
      <c r="I975" s="3" t="n">
        <v>1</v>
      </c>
      <c r="J975" s="3" t="n">
        <v>1</v>
      </c>
      <c r="K975" s="3" t="n">
        <v>0</v>
      </c>
      <c r="L975" s="3" t="n">
        <v>0</v>
      </c>
      <c r="M975" s="3" t="n">
        <v>0</v>
      </c>
      <c r="N975" s="3" t="n">
        <v>0</v>
      </c>
      <c r="O975" s="3"/>
      <c r="P975" s="3" t="n">
        <v>80.5</v>
      </c>
    </row>
    <row r="976" customFormat="false" ht="15" hidden="false" customHeight="false" outlineLevel="0" collapsed="false">
      <c r="A976" s="3" t="s">
        <v>1008</v>
      </c>
      <c r="B976" s="4" t="n">
        <v>45775</v>
      </c>
      <c r="C976" s="3" t="s">
        <v>724</v>
      </c>
      <c r="D976" s="3" t="s">
        <v>18</v>
      </c>
      <c r="E976" s="3" t="s">
        <v>24</v>
      </c>
      <c r="F976" s="3" t="s">
        <v>25</v>
      </c>
      <c r="G976" s="3" t="s">
        <v>26</v>
      </c>
      <c r="H976" s="3" t="n">
        <v>1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/>
      <c r="P976" s="3" t="n">
        <v>46.3</v>
      </c>
    </row>
    <row r="977" customFormat="false" ht="15" hidden="false" customHeight="false" outlineLevel="0" collapsed="false">
      <c r="A977" s="3" t="s">
        <v>1009</v>
      </c>
      <c r="B977" s="4" t="n">
        <v>45749</v>
      </c>
      <c r="C977" s="3" t="s">
        <v>724</v>
      </c>
      <c r="D977" s="3" t="s">
        <v>32</v>
      </c>
      <c r="E977" s="3" t="s">
        <v>19</v>
      </c>
      <c r="F977" s="3" t="s">
        <v>20</v>
      </c>
      <c r="G977" s="3" t="s">
        <v>21</v>
      </c>
      <c r="H977" s="3" t="n">
        <v>1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/>
      <c r="P977" s="3" t="n">
        <v>71.6</v>
      </c>
    </row>
    <row r="978" customFormat="false" ht="15" hidden="false" customHeight="false" outlineLevel="0" collapsed="false">
      <c r="A978" s="3" t="s">
        <v>1010</v>
      </c>
      <c r="B978" s="4" t="n">
        <v>45759</v>
      </c>
      <c r="C978" s="3" t="s">
        <v>724</v>
      </c>
      <c r="D978" s="3" t="s">
        <v>32</v>
      </c>
      <c r="E978" s="3" t="s">
        <v>19</v>
      </c>
      <c r="F978" s="3" t="s">
        <v>20</v>
      </c>
      <c r="G978" s="3" t="s">
        <v>30</v>
      </c>
      <c r="H978" s="3" t="n">
        <v>1</v>
      </c>
      <c r="I978" s="3" t="n">
        <v>1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0</v>
      </c>
      <c r="O978" s="3"/>
      <c r="P978" s="3" t="n">
        <v>57.8</v>
      </c>
    </row>
    <row r="979" customFormat="false" ht="15" hidden="false" customHeight="false" outlineLevel="0" collapsed="false">
      <c r="A979" s="3" t="s">
        <v>1011</v>
      </c>
      <c r="B979" s="4" t="n">
        <v>45660</v>
      </c>
      <c r="C979" s="3" t="s">
        <v>724</v>
      </c>
      <c r="D979" s="3" t="s">
        <v>23</v>
      </c>
      <c r="E979" s="3" t="s">
        <v>19</v>
      </c>
      <c r="F979" s="3" t="s">
        <v>20</v>
      </c>
      <c r="G979" s="3" t="s">
        <v>21</v>
      </c>
      <c r="H979" s="3" t="n">
        <v>1</v>
      </c>
      <c r="I979" s="3" t="n">
        <v>1</v>
      </c>
      <c r="J979" s="3" t="n">
        <v>1</v>
      </c>
      <c r="K979" s="3" t="n">
        <v>0</v>
      </c>
      <c r="L979" s="3" t="n">
        <v>0</v>
      </c>
      <c r="M979" s="3" t="n">
        <v>1</v>
      </c>
      <c r="N979" s="3" t="n">
        <v>0</v>
      </c>
      <c r="O979" s="3"/>
      <c r="P979" s="3" t="n">
        <v>57.8</v>
      </c>
    </row>
    <row r="980" customFormat="false" ht="15" hidden="false" customHeight="false" outlineLevel="0" collapsed="false">
      <c r="A980" s="3" t="s">
        <v>1012</v>
      </c>
      <c r="B980" s="4" t="n">
        <v>45785</v>
      </c>
      <c r="C980" s="3" t="s">
        <v>724</v>
      </c>
      <c r="D980" s="3" t="s">
        <v>18</v>
      </c>
      <c r="E980" s="3" t="s">
        <v>24</v>
      </c>
      <c r="F980" s="3" t="s">
        <v>29</v>
      </c>
      <c r="G980" s="3" t="s">
        <v>26</v>
      </c>
      <c r="H980" s="3" t="n">
        <v>1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0</v>
      </c>
      <c r="O980" s="3"/>
      <c r="P980" s="3" t="n">
        <v>38.3</v>
      </c>
    </row>
    <row r="981" customFormat="false" ht="15" hidden="false" customHeight="false" outlineLevel="0" collapsed="false">
      <c r="A981" s="3" t="s">
        <v>1013</v>
      </c>
      <c r="B981" s="4" t="n">
        <v>45708</v>
      </c>
      <c r="C981" s="3" t="s">
        <v>724</v>
      </c>
      <c r="D981" s="3" t="s">
        <v>18</v>
      </c>
      <c r="E981" s="3" t="s">
        <v>24</v>
      </c>
      <c r="F981" s="3" t="s">
        <v>39</v>
      </c>
      <c r="G981" s="3" t="s">
        <v>30</v>
      </c>
      <c r="H981" s="3" t="n">
        <v>1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1</v>
      </c>
      <c r="N981" s="3" t="n">
        <v>0</v>
      </c>
      <c r="O981" s="3"/>
      <c r="P981" s="3" t="n">
        <v>66.1</v>
      </c>
    </row>
    <row r="982" customFormat="false" ht="15" hidden="false" customHeight="false" outlineLevel="0" collapsed="false">
      <c r="A982" s="3" t="s">
        <v>1014</v>
      </c>
      <c r="B982" s="4" t="n">
        <v>45733</v>
      </c>
      <c r="C982" s="3" t="s">
        <v>724</v>
      </c>
      <c r="D982" s="3" t="s">
        <v>18</v>
      </c>
      <c r="E982" s="3" t="s">
        <v>19</v>
      </c>
      <c r="F982" s="3" t="s">
        <v>29</v>
      </c>
      <c r="G982" s="3" t="s">
        <v>30</v>
      </c>
      <c r="H982" s="3" t="n">
        <v>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/>
      <c r="P982" s="3" t="n">
        <v>66.5</v>
      </c>
    </row>
    <row r="983" customFormat="false" ht="15" hidden="false" customHeight="false" outlineLevel="0" collapsed="false">
      <c r="A983" s="3" t="s">
        <v>1015</v>
      </c>
      <c r="B983" s="4" t="n">
        <v>45757</v>
      </c>
      <c r="C983" s="3" t="s">
        <v>724</v>
      </c>
      <c r="D983" s="3" t="s">
        <v>32</v>
      </c>
      <c r="E983" s="3" t="s">
        <v>19</v>
      </c>
      <c r="F983" s="3" t="s">
        <v>20</v>
      </c>
      <c r="G983" s="3" t="s">
        <v>26</v>
      </c>
      <c r="H983" s="3" t="n">
        <v>1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3</v>
      </c>
      <c r="N983" s="3" t="n">
        <v>0</v>
      </c>
      <c r="O983" s="3"/>
      <c r="P983" s="3" t="n">
        <v>51.5</v>
      </c>
    </row>
    <row r="984" customFormat="false" ht="15" hidden="false" customHeight="false" outlineLevel="0" collapsed="false">
      <c r="A984" s="3" t="s">
        <v>1016</v>
      </c>
      <c r="B984" s="4" t="n">
        <v>45785</v>
      </c>
      <c r="C984" s="3" t="s">
        <v>724</v>
      </c>
      <c r="D984" s="3" t="s">
        <v>18</v>
      </c>
      <c r="E984" s="3" t="s">
        <v>19</v>
      </c>
      <c r="F984" s="3" t="s">
        <v>39</v>
      </c>
      <c r="G984" s="3" t="s">
        <v>26</v>
      </c>
      <c r="H984" s="3" t="n">
        <v>1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0</v>
      </c>
      <c r="O984" s="3"/>
      <c r="P984" s="3" t="n">
        <v>59.9</v>
      </c>
    </row>
    <row r="985" customFormat="false" ht="15" hidden="false" customHeight="false" outlineLevel="0" collapsed="false">
      <c r="A985" s="3" t="s">
        <v>1017</v>
      </c>
      <c r="B985" s="4" t="n">
        <v>45766</v>
      </c>
      <c r="C985" s="3" t="s">
        <v>724</v>
      </c>
      <c r="D985" s="3" t="s">
        <v>23</v>
      </c>
      <c r="E985" s="3" t="s">
        <v>24</v>
      </c>
      <c r="F985" s="3" t="s">
        <v>29</v>
      </c>
      <c r="G985" s="3" t="s">
        <v>21</v>
      </c>
      <c r="H985" s="3" t="n">
        <v>1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0</v>
      </c>
      <c r="O985" s="3"/>
      <c r="P985" s="3" t="n">
        <v>58.8</v>
      </c>
    </row>
    <row r="986" customFormat="false" ht="15" hidden="false" customHeight="false" outlineLevel="0" collapsed="false">
      <c r="A986" s="3" t="s">
        <v>1018</v>
      </c>
      <c r="B986" s="4" t="n">
        <v>45658</v>
      </c>
      <c r="C986" s="3" t="s">
        <v>724</v>
      </c>
      <c r="D986" s="3" t="s">
        <v>32</v>
      </c>
      <c r="E986" s="3" t="s">
        <v>34</v>
      </c>
      <c r="F986" s="3" t="s">
        <v>29</v>
      </c>
      <c r="G986" s="3" t="s">
        <v>21</v>
      </c>
      <c r="H986" s="3" t="n">
        <v>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0</v>
      </c>
      <c r="O986" s="3"/>
      <c r="P986" s="3" t="n">
        <v>69.6</v>
      </c>
    </row>
    <row r="987" customFormat="false" ht="15" hidden="false" customHeight="false" outlineLevel="0" collapsed="false">
      <c r="A987" s="3" t="s">
        <v>1019</v>
      </c>
      <c r="B987" s="4" t="n">
        <v>45726</v>
      </c>
      <c r="C987" s="3" t="s">
        <v>724</v>
      </c>
      <c r="D987" s="3" t="s">
        <v>28</v>
      </c>
      <c r="E987" s="3" t="s">
        <v>24</v>
      </c>
      <c r="F987" s="3" t="s">
        <v>29</v>
      </c>
      <c r="G987" s="3" t="s">
        <v>26</v>
      </c>
      <c r="H987" s="3" t="n">
        <v>1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0</v>
      </c>
      <c r="O987" s="3"/>
      <c r="P987" s="3" t="n">
        <v>77.5</v>
      </c>
    </row>
    <row r="988" customFormat="false" ht="15" hidden="false" customHeight="false" outlineLevel="0" collapsed="false">
      <c r="A988" s="3" t="s">
        <v>1020</v>
      </c>
      <c r="B988" s="4" t="n">
        <v>45726</v>
      </c>
      <c r="C988" s="3" t="s">
        <v>724</v>
      </c>
      <c r="D988" s="3" t="s">
        <v>28</v>
      </c>
      <c r="E988" s="3" t="s">
        <v>34</v>
      </c>
      <c r="F988" s="3" t="s">
        <v>41</v>
      </c>
      <c r="G988" s="3" t="s">
        <v>30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2</v>
      </c>
      <c r="N988" s="3" t="n">
        <v>0</v>
      </c>
      <c r="O988" s="3"/>
      <c r="P988" s="3" t="n">
        <v>57.5</v>
      </c>
    </row>
    <row r="989" customFormat="false" ht="15" hidden="false" customHeight="false" outlineLevel="0" collapsed="false">
      <c r="A989" s="3" t="s">
        <v>1021</v>
      </c>
      <c r="B989" s="4" t="n">
        <v>45766</v>
      </c>
      <c r="C989" s="3" t="s">
        <v>724</v>
      </c>
      <c r="D989" s="3" t="s">
        <v>23</v>
      </c>
      <c r="E989" s="3" t="s">
        <v>34</v>
      </c>
      <c r="F989" s="3" t="s">
        <v>20</v>
      </c>
      <c r="G989" s="3" t="s">
        <v>21</v>
      </c>
      <c r="H989" s="3" t="n">
        <v>1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0</v>
      </c>
      <c r="O989" s="3"/>
      <c r="P989" s="3" t="n">
        <v>64.2</v>
      </c>
    </row>
    <row r="990" customFormat="false" ht="15" hidden="false" customHeight="false" outlineLevel="0" collapsed="false">
      <c r="A990" s="3" t="s">
        <v>1022</v>
      </c>
      <c r="B990" s="4" t="n">
        <v>45758</v>
      </c>
      <c r="C990" s="3" t="s">
        <v>724</v>
      </c>
      <c r="D990" s="3" t="s">
        <v>23</v>
      </c>
      <c r="E990" s="3" t="s">
        <v>19</v>
      </c>
      <c r="F990" s="3" t="s">
        <v>25</v>
      </c>
      <c r="G990" s="3" t="s">
        <v>26</v>
      </c>
      <c r="H990" s="3" t="n">
        <v>0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0</v>
      </c>
      <c r="O990" s="3"/>
      <c r="P990" s="3" t="n">
        <v>60</v>
      </c>
    </row>
    <row r="991" customFormat="false" ht="15" hidden="false" customHeight="false" outlineLevel="0" collapsed="false">
      <c r="A991" s="3" t="s">
        <v>1023</v>
      </c>
      <c r="B991" s="4" t="n">
        <v>45757</v>
      </c>
      <c r="C991" s="3" t="s">
        <v>724</v>
      </c>
      <c r="D991" s="3" t="s">
        <v>28</v>
      </c>
      <c r="E991" s="3" t="s">
        <v>24</v>
      </c>
      <c r="F991" s="3" t="s">
        <v>25</v>
      </c>
      <c r="G991" s="3" t="s">
        <v>21</v>
      </c>
      <c r="H991" s="3" t="n">
        <v>1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1</v>
      </c>
      <c r="N991" s="3" t="n">
        <v>0</v>
      </c>
      <c r="O991" s="3"/>
      <c r="P991" s="3" t="n">
        <v>43.7</v>
      </c>
    </row>
    <row r="992" customFormat="false" ht="15" hidden="false" customHeight="false" outlineLevel="0" collapsed="false">
      <c r="A992" s="3" t="s">
        <v>1024</v>
      </c>
      <c r="B992" s="4" t="n">
        <v>45670</v>
      </c>
      <c r="C992" s="3" t="s">
        <v>724</v>
      </c>
      <c r="D992" s="3" t="s">
        <v>23</v>
      </c>
      <c r="E992" s="3" t="s">
        <v>19</v>
      </c>
      <c r="F992" s="3" t="s">
        <v>41</v>
      </c>
      <c r="G992" s="3" t="s">
        <v>26</v>
      </c>
      <c r="H992" s="3" t="n">
        <v>1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0</v>
      </c>
      <c r="O992" s="3"/>
      <c r="P992" s="3" t="n">
        <v>64.9</v>
      </c>
    </row>
    <row r="993" customFormat="false" ht="15" hidden="false" customHeight="false" outlineLevel="0" collapsed="false">
      <c r="A993" s="3" t="s">
        <v>1025</v>
      </c>
      <c r="B993" s="4" t="n">
        <v>45744</v>
      </c>
      <c r="C993" s="3" t="s">
        <v>724</v>
      </c>
      <c r="D993" s="3" t="s">
        <v>32</v>
      </c>
      <c r="E993" s="3" t="s">
        <v>19</v>
      </c>
      <c r="F993" s="3" t="s">
        <v>25</v>
      </c>
      <c r="G993" s="3" t="s">
        <v>26</v>
      </c>
      <c r="H993" s="3" t="n">
        <v>1</v>
      </c>
      <c r="I993" s="3" t="n">
        <v>1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0</v>
      </c>
      <c r="O993" s="3"/>
      <c r="P993" s="3" t="n">
        <v>45.5</v>
      </c>
    </row>
    <row r="994" customFormat="false" ht="15" hidden="false" customHeight="false" outlineLevel="0" collapsed="false">
      <c r="A994" s="3" t="s">
        <v>1026</v>
      </c>
      <c r="B994" s="4" t="n">
        <v>45686</v>
      </c>
      <c r="C994" s="3" t="s">
        <v>724</v>
      </c>
      <c r="D994" s="3" t="s">
        <v>28</v>
      </c>
      <c r="E994" s="3" t="s">
        <v>24</v>
      </c>
      <c r="F994" s="3" t="s">
        <v>29</v>
      </c>
      <c r="G994" s="3" t="s">
        <v>26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1772.97</v>
      </c>
      <c r="M994" s="3" t="n">
        <v>0</v>
      </c>
      <c r="N994" s="3" t="n">
        <v>0</v>
      </c>
      <c r="O994" s="3" t="n">
        <v>8</v>
      </c>
      <c r="P994" s="3" t="n">
        <v>61.2</v>
      </c>
    </row>
    <row r="995" customFormat="false" ht="15" hidden="false" customHeight="false" outlineLevel="0" collapsed="false">
      <c r="A995" s="3" t="s">
        <v>1027</v>
      </c>
      <c r="B995" s="4" t="n">
        <v>45743</v>
      </c>
      <c r="C995" s="3" t="s">
        <v>724</v>
      </c>
      <c r="D995" s="3" t="s">
        <v>32</v>
      </c>
      <c r="E995" s="3" t="s">
        <v>24</v>
      </c>
      <c r="F995" s="3" t="s">
        <v>39</v>
      </c>
      <c r="G995" s="3" t="s">
        <v>26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/>
      <c r="P995" s="3" t="n">
        <v>87.8</v>
      </c>
    </row>
    <row r="996" customFormat="false" ht="15" hidden="false" customHeight="false" outlineLevel="0" collapsed="false">
      <c r="A996" s="3" t="s">
        <v>1028</v>
      </c>
      <c r="B996" s="4" t="n">
        <v>45736</v>
      </c>
      <c r="C996" s="3" t="s">
        <v>724</v>
      </c>
      <c r="D996" s="3" t="s">
        <v>28</v>
      </c>
      <c r="E996" s="3" t="s">
        <v>34</v>
      </c>
      <c r="F996" s="3" t="s">
        <v>41</v>
      </c>
      <c r="G996" s="3" t="s">
        <v>26</v>
      </c>
      <c r="H996" s="3" t="n">
        <v>0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0</v>
      </c>
      <c r="O996" s="3"/>
      <c r="P996" s="3" t="n">
        <v>86.4</v>
      </c>
    </row>
    <row r="997" customFormat="false" ht="15" hidden="false" customHeight="false" outlineLevel="0" collapsed="false">
      <c r="A997" s="3" t="s">
        <v>1029</v>
      </c>
      <c r="B997" s="4" t="n">
        <v>45666</v>
      </c>
      <c r="C997" s="3" t="s">
        <v>724</v>
      </c>
      <c r="D997" s="3" t="s">
        <v>18</v>
      </c>
      <c r="E997" s="3" t="s">
        <v>24</v>
      </c>
      <c r="F997" s="3" t="s">
        <v>29</v>
      </c>
      <c r="G997" s="3" t="s">
        <v>21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1</v>
      </c>
      <c r="N997" s="3" t="n">
        <v>0</v>
      </c>
      <c r="O997" s="3"/>
      <c r="P997" s="3" t="n">
        <v>71.4</v>
      </c>
    </row>
    <row r="998" customFormat="false" ht="15" hidden="false" customHeight="false" outlineLevel="0" collapsed="false">
      <c r="A998" s="3" t="s">
        <v>1030</v>
      </c>
      <c r="B998" s="4" t="n">
        <v>45772</v>
      </c>
      <c r="C998" s="3" t="s">
        <v>724</v>
      </c>
      <c r="D998" s="3" t="s">
        <v>23</v>
      </c>
      <c r="E998" s="3" t="s">
        <v>24</v>
      </c>
      <c r="F998" s="3" t="s">
        <v>41</v>
      </c>
      <c r="G998" s="3" t="s">
        <v>26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218.66</v>
      </c>
      <c r="M998" s="3" t="n">
        <v>0</v>
      </c>
      <c r="N998" s="3" t="n">
        <v>1</v>
      </c>
      <c r="O998" s="3" t="n">
        <v>8</v>
      </c>
      <c r="P998" s="3" t="n">
        <v>72.2</v>
      </c>
    </row>
    <row r="999" customFormat="false" ht="15" hidden="false" customHeight="false" outlineLevel="0" collapsed="false">
      <c r="A999" s="3" t="s">
        <v>1031</v>
      </c>
      <c r="B999" s="4" t="n">
        <v>45758</v>
      </c>
      <c r="C999" s="3" t="s">
        <v>724</v>
      </c>
      <c r="D999" s="3" t="s">
        <v>32</v>
      </c>
      <c r="E999" s="3" t="s">
        <v>19</v>
      </c>
      <c r="F999" s="3" t="s">
        <v>41</v>
      </c>
      <c r="G999" s="3" t="s">
        <v>26</v>
      </c>
      <c r="H999" s="3" t="n">
        <v>1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/>
      <c r="P999" s="3" t="n">
        <v>51.9</v>
      </c>
    </row>
    <row r="1000" customFormat="false" ht="15" hidden="false" customHeight="false" outlineLevel="0" collapsed="false">
      <c r="A1000" s="3" t="s">
        <v>1032</v>
      </c>
      <c r="B1000" s="4" t="n">
        <v>45693</v>
      </c>
      <c r="C1000" s="3" t="s">
        <v>724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3" t="n">
        <v>1</v>
      </c>
      <c r="I1000" s="3" t="n">
        <v>1</v>
      </c>
      <c r="J1000" s="3" t="n">
        <v>1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/>
      <c r="P1000" s="3" t="n">
        <v>70.3</v>
      </c>
    </row>
    <row r="1001" customFormat="false" ht="15" hidden="false" customHeight="false" outlineLevel="0" collapsed="false">
      <c r="A1001" s="3" t="s">
        <v>1033</v>
      </c>
      <c r="B1001" s="4" t="n">
        <v>45744</v>
      </c>
      <c r="C1001" s="3" t="s">
        <v>724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3" t="n">
        <v>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1</v>
      </c>
      <c r="N1001" s="3" t="n">
        <v>0</v>
      </c>
      <c r="O1001" s="3"/>
      <c r="P1001" s="3" t="n">
        <v>49.2</v>
      </c>
    </row>
    <row r="1002" customFormat="false" ht="15" hidden="false" customHeight="false" outlineLevel="0" collapsed="false">
      <c r="A1002" s="3" t="s">
        <v>1034</v>
      </c>
      <c r="B1002" s="4" t="n">
        <v>45791</v>
      </c>
      <c r="C1002" s="3" t="s">
        <v>724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/>
      <c r="P1002" s="3" t="n">
        <v>52.2</v>
      </c>
    </row>
    <row r="1003" customFormat="false" ht="15" hidden="false" customHeight="false" outlineLevel="0" collapsed="false">
      <c r="A1003" s="3" t="s">
        <v>1035</v>
      </c>
      <c r="B1003" s="4" t="n">
        <v>45726</v>
      </c>
      <c r="C1003" s="3" t="s">
        <v>724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1</v>
      </c>
      <c r="N1003" s="3" t="n">
        <v>0</v>
      </c>
      <c r="O1003" s="3"/>
      <c r="P1003" s="3" t="n">
        <v>62.6</v>
      </c>
    </row>
    <row r="1004" customFormat="false" ht="15" hidden="false" customHeight="false" outlineLevel="0" collapsed="false">
      <c r="A1004" s="3" t="s">
        <v>1036</v>
      </c>
      <c r="B1004" s="4" t="n">
        <v>45756</v>
      </c>
      <c r="C1004" s="3" t="s">
        <v>724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3" t="n">
        <v>1</v>
      </c>
      <c r="I1004" s="3" t="n">
        <v>1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/>
      <c r="P1004" s="3" t="n">
        <v>100</v>
      </c>
    </row>
    <row r="1005" customFormat="false" ht="15" hidden="false" customHeight="false" outlineLevel="0" collapsed="false">
      <c r="A1005" s="3" t="s">
        <v>1037</v>
      </c>
      <c r="B1005" s="4" t="n">
        <v>45701</v>
      </c>
      <c r="C1005" s="3" t="s">
        <v>724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3" t="n">
        <v>1</v>
      </c>
      <c r="I1005" s="3" t="n">
        <v>1</v>
      </c>
      <c r="J1005" s="3" t="n">
        <v>1</v>
      </c>
      <c r="K1005" s="3" t="n">
        <v>0</v>
      </c>
      <c r="L1005" s="3" t="n">
        <v>0</v>
      </c>
      <c r="M1005" s="3" t="n">
        <v>2</v>
      </c>
      <c r="N1005" s="3" t="n">
        <v>0</v>
      </c>
      <c r="O1005" s="3"/>
      <c r="P1005" s="3" t="n">
        <v>45.9</v>
      </c>
    </row>
    <row r="1006" customFormat="false" ht="15" hidden="false" customHeight="false" outlineLevel="0" collapsed="false">
      <c r="A1006" s="3" t="s">
        <v>1038</v>
      </c>
      <c r="B1006" s="4" t="n">
        <v>45780</v>
      </c>
      <c r="C1006" s="3" t="s">
        <v>724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3" t="n">
        <v>1</v>
      </c>
      <c r="I1006" s="3" t="n">
        <v>1</v>
      </c>
      <c r="J1006" s="3" t="n">
        <v>1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/>
      <c r="P1006" s="3" t="n">
        <v>80.7</v>
      </c>
    </row>
    <row r="1007" customFormat="false" ht="15" hidden="false" customHeight="false" outlineLevel="0" collapsed="false">
      <c r="A1007" s="3" t="s">
        <v>1039</v>
      </c>
      <c r="B1007" s="4" t="n">
        <v>45763</v>
      </c>
      <c r="C1007" s="3" t="s">
        <v>724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3" t="n">
        <v>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/>
      <c r="P1007" s="3" t="n">
        <v>51.9</v>
      </c>
    </row>
    <row r="1008" customFormat="false" ht="15" hidden="false" customHeight="false" outlineLevel="0" collapsed="false">
      <c r="A1008" s="3" t="s">
        <v>1040</v>
      </c>
      <c r="B1008" s="4" t="n">
        <v>45777</v>
      </c>
      <c r="C1008" s="3" t="s">
        <v>724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3" t="n">
        <v>1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/>
      <c r="P1008" s="3" t="n">
        <v>68.9</v>
      </c>
    </row>
    <row r="1009" customFormat="false" ht="15" hidden="false" customHeight="false" outlineLevel="0" collapsed="false">
      <c r="A1009" s="3" t="s">
        <v>1041</v>
      </c>
      <c r="B1009" s="4" t="n">
        <v>45706</v>
      </c>
      <c r="C1009" s="3" t="s">
        <v>724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3" t="n">
        <v>1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/>
      <c r="P1009" s="3" t="n">
        <v>66</v>
      </c>
    </row>
    <row r="1010" customFormat="false" ht="15" hidden="false" customHeight="false" outlineLevel="0" collapsed="false">
      <c r="A1010" s="3" t="s">
        <v>1042</v>
      </c>
      <c r="B1010" s="4" t="n">
        <v>45799</v>
      </c>
      <c r="C1010" s="3" t="s">
        <v>724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3" t="n">
        <v>0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/>
      <c r="P1010" s="3" t="n">
        <v>63.1</v>
      </c>
    </row>
    <row r="1011" customFormat="false" ht="15" hidden="false" customHeight="false" outlineLevel="0" collapsed="false">
      <c r="A1011" s="3" t="s">
        <v>1043</v>
      </c>
      <c r="B1011" s="4" t="n">
        <v>45798</v>
      </c>
      <c r="C1011" s="3" t="s">
        <v>724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/>
      <c r="P1011" s="3" t="n">
        <v>56</v>
      </c>
    </row>
    <row r="1012" customFormat="false" ht="15" hidden="false" customHeight="false" outlineLevel="0" collapsed="false">
      <c r="A1012" s="3" t="s">
        <v>1044</v>
      </c>
      <c r="B1012" s="4" t="n">
        <v>45757</v>
      </c>
      <c r="C1012" s="3" t="s">
        <v>724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3" t="n">
        <v>1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1</v>
      </c>
      <c r="N1012" s="3" t="n">
        <v>0</v>
      </c>
      <c r="O1012" s="3"/>
      <c r="P1012" s="3" t="n">
        <v>65.7</v>
      </c>
    </row>
    <row r="1013" customFormat="false" ht="15" hidden="false" customHeight="false" outlineLevel="0" collapsed="false">
      <c r="A1013" s="3" t="s">
        <v>1045</v>
      </c>
      <c r="B1013" s="4" t="n">
        <v>45664</v>
      </c>
      <c r="C1013" s="3" t="s">
        <v>724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1938.31</v>
      </c>
      <c r="M1013" s="3" t="n">
        <v>1</v>
      </c>
      <c r="N1013" s="3" t="n">
        <v>0</v>
      </c>
      <c r="O1013" s="3" t="n">
        <v>9</v>
      </c>
      <c r="P1013" s="3" t="n">
        <v>60.9</v>
      </c>
    </row>
    <row r="1014" customFormat="false" ht="15" hidden="false" customHeight="false" outlineLevel="0" collapsed="false">
      <c r="A1014" s="3" t="s">
        <v>1046</v>
      </c>
      <c r="B1014" s="4" t="n">
        <v>45691</v>
      </c>
      <c r="C1014" s="3" t="s">
        <v>724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/>
      <c r="P1014" s="3" t="n">
        <v>45.5</v>
      </c>
    </row>
    <row r="1015" customFormat="false" ht="15" hidden="false" customHeight="false" outlineLevel="0" collapsed="false">
      <c r="A1015" s="3" t="s">
        <v>1047</v>
      </c>
      <c r="B1015" s="4" t="n">
        <v>45795</v>
      </c>
      <c r="C1015" s="3" t="s">
        <v>724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3" t="n">
        <v>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/>
      <c r="P1015" s="3" t="n">
        <v>50</v>
      </c>
    </row>
    <row r="1016" customFormat="false" ht="15" hidden="false" customHeight="false" outlineLevel="0" collapsed="false">
      <c r="A1016" s="3" t="s">
        <v>1048</v>
      </c>
      <c r="B1016" s="4" t="n">
        <v>45688</v>
      </c>
      <c r="C1016" s="3" t="s">
        <v>724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3" t="n">
        <v>1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/>
      <c r="P1016" s="3" t="n">
        <v>72.1</v>
      </c>
    </row>
    <row r="1017" customFormat="false" ht="15" hidden="false" customHeight="false" outlineLevel="0" collapsed="false">
      <c r="A1017" s="3" t="s">
        <v>1049</v>
      </c>
      <c r="B1017" s="4" t="n">
        <v>45673</v>
      </c>
      <c r="C1017" s="3" t="s">
        <v>724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3" t="n">
        <v>1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/>
      <c r="P1017" s="3" t="n">
        <v>76.3</v>
      </c>
    </row>
    <row r="1018" customFormat="false" ht="15" hidden="false" customHeight="false" outlineLevel="0" collapsed="false">
      <c r="A1018" s="3" t="s">
        <v>1050</v>
      </c>
      <c r="B1018" s="4" t="n">
        <v>45791</v>
      </c>
      <c r="C1018" s="3" t="s">
        <v>724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3" t="n">
        <v>1</v>
      </c>
      <c r="I1018" s="3" t="n">
        <v>1</v>
      </c>
      <c r="J1018" s="3" t="n">
        <v>0</v>
      </c>
      <c r="K1018" s="3" t="n">
        <v>0</v>
      </c>
      <c r="L1018" s="3" t="n">
        <v>0</v>
      </c>
      <c r="M1018" s="3" t="n">
        <v>1</v>
      </c>
      <c r="N1018" s="3" t="n">
        <v>0</v>
      </c>
      <c r="O1018" s="3"/>
      <c r="P1018" s="3" t="n">
        <v>54.8</v>
      </c>
    </row>
    <row r="1019" customFormat="false" ht="15" hidden="false" customHeight="false" outlineLevel="0" collapsed="false">
      <c r="A1019" s="3" t="s">
        <v>1051</v>
      </c>
      <c r="B1019" s="4" t="n">
        <v>45748</v>
      </c>
      <c r="C1019" s="3" t="s">
        <v>724</v>
      </c>
      <c r="D1019" s="3" t="s">
        <v>32</v>
      </c>
      <c r="E1019" s="3" t="s">
        <v>24</v>
      </c>
      <c r="F1019" s="3" t="s">
        <v>156</v>
      </c>
      <c r="G1019" s="3" t="s">
        <v>21</v>
      </c>
      <c r="H1019" s="3" t="n">
        <v>1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/>
      <c r="P1019" s="3" t="n">
        <v>63.6</v>
      </c>
    </row>
    <row r="1020" customFormat="false" ht="15" hidden="false" customHeight="false" outlineLevel="0" collapsed="false">
      <c r="A1020" s="3" t="s">
        <v>1052</v>
      </c>
      <c r="B1020" s="4" t="n">
        <v>45770</v>
      </c>
      <c r="C1020" s="3" t="s">
        <v>724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3" t="n">
        <v>1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/>
      <c r="P1020" s="3" t="n">
        <v>68.8</v>
      </c>
    </row>
    <row r="1021" customFormat="false" ht="15" hidden="false" customHeight="false" outlineLevel="0" collapsed="false">
      <c r="A1021" s="3" t="s">
        <v>1053</v>
      </c>
      <c r="B1021" s="4" t="n">
        <v>45718</v>
      </c>
      <c r="C1021" s="3" t="s">
        <v>724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3" t="n">
        <v>1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/>
      <c r="P1021" s="3" t="n">
        <v>63.2</v>
      </c>
    </row>
    <row r="1022" customFormat="false" ht="15" hidden="false" customHeight="false" outlineLevel="0" collapsed="false">
      <c r="A1022" s="3" t="s">
        <v>1054</v>
      </c>
      <c r="B1022" s="4" t="n">
        <v>45659</v>
      </c>
      <c r="C1022" s="3" t="s">
        <v>724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/>
      <c r="P1022" s="3" t="n">
        <v>45</v>
      </c>
    </row>
    <row r="1023" customFormat="false" ht="15" hidden="false" customHeight="false" outlineLevel="0" collapsed="false">
      <c r="A1023" s="3" t="s">
        <v>1055</v>
      </c>
      <c r="B1023" s="4" t="n">
        <v>45781</v>
      </c>
      <c r="C1023" s="3" t="s">
        <v>724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3" t="n">
        <v>1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0</v>
      </c>
      <c r="O1023" s="3"/>
      <c r="P1023" s="3" t="n">
        <v>77.4</v>
      </c>
    </row>
    <row r="1024" customFormat="false" ht="15" hidden="false" customHeight="false" outlineLevel="0" collapsed="false">
      <c r="A1024" s="3" t="s">
        <v>1056</v>
      </c>
      <c r="B1024" s="4" t="n">
        <v>45673</v>
      </c>
      <c r="C1024" s="3" t="s">
        <v>724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/>
      <c r="P1024" s="3" t="n">
        <v>53.1</v>
      </c>
    </row>
    <row r="1025" customFormat="false" ht="15" hidden="false" customHeight="false" outlineLevel="0" collapsed="false">
      <c r="A1025" s="3" t="s">
        <v>1057</v>
      </c>
      <c r="B1025" s="4" t="n">
        <v>45699</v>
      </c>
      <c r="C1025" s="3" t="s">
        <v>724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3" t="n">
        <v>0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0</v>
      </c>
      <c r="O1025" s="3"/>
      <c r="P1025" s="3" t="n">
        <v>74</v>
      </c>
    </row>
    <row r="1026" customFormat="false" ht="15" hidden="false" customHeight="false" outlineLevel="0" collapsed="false">
      <c r="A1026" s="3" t="s">
        <v>1058</v>
      </c>
      <c r="B1026" s="4" t="n">
        <v>45750</v>
      </c>
      <c r="C1026" s="3" t="s">
        <v>724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1906.23</v>
      </c>
      <c r="M1026" s="3" t="n">
        <v>0</v>
      </c>
      <c r="N1026" s="3" t="n">
        <v>0</v>
      </c>
      <c r="O1026" s="3" t="n">
        <v>4</v>
      </c>
      <c r="P1026" s="3" t="n">
        <v>84.6</v>
      </c>
    </row>
    <row r="1027" customFormat="false" ht="15" hidden="false" customHeight="false" outlineLevel="0" collapsed="false">
      <c r="A1027" s="3" t="s">
        <v>1059</v>
      </c>
      <c r="B1027" s="4" t="n">
        <v>45742</v>
      </c>
      <c r="C1027" s="3" t="s">
        <v>724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3" t="n">
        <v>1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/>
      <c r="P1027" s="3" t="n">
        <v>57</v>
      </c>
    </row>
    <row r="1028" customFormat="false" ht="15" hidden="false" customHeight="false" outlineLevel="0" collapsed="false">
      <c r="A1028" s="3" t="s">
        <v>1060</v>
      </c>
      <c r="B1028" s="4" t="n">
        <v>45793</v>
      </c>
      <c r="C1028" s="3" t="s">
        <v>724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3" t="n">
        <v>0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/>
      <c r="P1028" s="3" t="n">
        <v>46.3</v>
      </c>
    </row>
    <row r="1029" customFormat="false" ht="15" hidden="false" customHeight="false" outlineLevel="0" collapsed="false">
      <c r="A1029" s="3" t="s">
        <v>1061</v>
      </c>
      <c r="B1029" s="4" t="n">
        <v>45767</v>
      </c>
      <c r="C1029" s="3" t="s">
        <v>724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1</v>
      </c>
      <c r="N1029" s="3" t="n">
        <v>0</v>
      </c>
      <c r="O1029" s="3"/>
      <c r="P1029" s="3" t="n">
        <v>64.4</v>
      </c>
    </row>
    <row r="1030" customFormat="false" ht="15" hidden="false" customHeight="false" outlineLevel="0" collapsed="false">
      <c r="A1030" s="3" t="s">
        <v>1062</v>
      </c>
      <c r="B1030" s="4" t="n">
        <v>45762</v>
      </c>
      <c r="C1030" s="3" t="s">
        <v>724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3" t="n">
        <v>1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2</v>
      </c>
      <c r="N1030" s="3" t="n">
        <v>0</v>
      </c>
      <c r="O1030" s="3"/>
      <c r="P1030" s="3" t="n">
        <v>61.9</v>
      </c>
    </row>
    <row r="1031" customFormat="false" ht="15" hidden="false" customHeight="false" outlineLevel="0" collapsed="false">
      <c r="A1031" s="3" t="s">
        <v>1063</v>
      </c>
      <c r="B1031" s="4" t="n">
        <v>45681</v>
      </c>
      <c r="C1031" s="3" t="s">
        <v>724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3" t="n">
        <v>1</v>
      </c>
      <c r="I1031" s="3" t="n">
        <v>1</v>
      </c>
      <c r="J1031" s="3" t="n">
        <v>1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/>
      <c r="P1031" s="3" t="n">
        <v>93.7</v>
      </c>
    </row>
    <row r="1032" customFormat="false" ht="15" hidden="false" customHeight="false" outlineLevel="0" collapsed="false">
      <c r="A1032" s="3" t="s">
        <v>1064</v>
      </c>
      <c r="B1032" s="4" t="n">
        <v>45758</v>
      </c>
      <c r="C1032" s="3" t="s">
        <v>724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/>
      <c r="P1032" s="3" t="n">
        <v>61.6</v>
      </c>
    </row>
    <row r="1033" customFormat="false" ht="15" hidden="false" customHeight="false" outlineLevel="0" collapsed="false">
      <c r="A1033" s="3" t="s">
        <v>1065</v>
      </c>
      <c r="B1033" s="4" t="n">
        <v>45796</v>
      </c>
      <c r="C1033" s="3" t="s">
        <v>724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3" t="n">
        <v>1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/>
      <c r="P1033" s="3" t="n">
        <v>72.2</v>
      </c>
    </row>
    <row r="1034" customFormat="false" ht="15" hidden="false" customHeight="false" outlineLevel="0" collapsed="false">
      <c r="A1034" s="3" t="s">
        <v>1066</v>
      </c>
      <c r="B1034" s="4" t="n">
        <v>45671</v>
      </c>
      <c r="C1034" s="3" t="s">
        <v>724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/>
      <c r="P1034" s="3" t="n">
        <v>69.5</v>
      </c>
    </row>
    <row r="1035" customFormat="false" ht="15" hidden="false" customHeight="false" outlineLevel="0" collapsed="false">
      <c r="A1035" s="3" t="s">
        <v>1067</v>
      </c>
      <c r="B1035" s="4" t="n">
        <v>45716</v>
      </c>
      <c r="C1035" s="3" t="s">
        <v>724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/>
      <c r="P1035" s="3" t="n">
        <v>59.7</v>
      </c>
    </row>
    <row r="1036" customFormat="false" ht="15" hidden="false" customHeight="false" outlineLevel="0" collapsed="false">
      <c r="A1036" s="3" t="s">
        <v>1068</v>
      </c>
      <c r="B1036" s="4" t="n">
        <v>45795</v>
      </c>
      <c r="C1036" s="3" t="s">
        <v>724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3" t="n">
        <v>1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/>
      <c r="P1036" s="3" t="n">
        <v>73.9</v>
      </c>
    </row>
    <row r="1037" customFormat="false" ht="15" hidden="false" customHeight="false" outlineLevel="0" collapsed="false">
      <c r="A1037" s="3" t="s">
        <v>1069</v>
      </c>
      <c r="B1037" s="4" t="n">
        <v>45661</v>
      </c>
      <c r="C1037" s="3" t="s">
        <v>724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/>
      <c r="P1037" s="3" t="n">
        <v>41.5</v>
      </c>
    </row>
    <row r="1038" customFormat="false" ht="15" hidden="false" customHeight="false" outlineLevel="0" collapsed="false">
      <c r="A1038" s="3" t="s">
        <v>1070</v>
      </c>
      <c r="B1038" s="4" t="n">
        <v>45673</v>
      </c>
      <c r="C1038" s="3" t="s">
        <v>724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3" t="n">
        <v>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/>
      <c r="P1038" s="3" t="n">
        <v>82.8</v>
      </c>
    </row>
    <row r="1039" customFormat="false" ht="15" hidden="false" customHeight="false" outlineLevel="0" collapsed="false">
      <c r="A1039" s="3" t="s">
        <v>1071</v>
      </c>
      <c r="B1039" s="4" t="n">
        <v>45730</v>
      </c>
      <c r="C1039" s="3" t="s">
        <v>724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3" t="n">
        <v>1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3</v>
      </c>
      <c r="N1039" s="3" t="n">
        <v>0</v>
      </c>
      <c r="O1039" s="3"/>
      <c r="P1039" s="3" t="n">
        <v>70.2</v>
      </c>
    </row>
    <row r="1040" customFormat="false" ht="15" hidden="false" customHeight="false" outlineLevel="0" collapsed="false">
      <c r="A1040" s="3" t="s">
        <v>1072</v>
      </c>
      <c r="B1040" s="4" t="n">
        <v>45680</v>
      </c>
      <c r="C1040" s="3" t="s">
        <v>724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3" t="n">
        <v>1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1</v>
      </c>
      <c r="N1040" s="3" t="n">
        <v>0</v>
      </c>
      <c r="O1040" s="3"/>
      <c r="P1040" s="3" t="n">
        <v>69.4</v>
      </c>
    </row>
    <row r="1041" customFormat="false" ht="15" hidden="false" customHeight="false" outlineLevel="0" collapsed="false">
      <c r="A1041" s="3" t="s">
        <v>1073</v>
      </c>
      <c r="B1041" s="4" t="n">
        <v>45691</v>
      </c>
      <c r="C1041" s="3" t="s">
        <v>724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3" t="n">
        <v>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/>
      <c r="P1041" s="3" t="n">
        <v>60.4</v>
      </c>
    </row>
    <row r="1042" customFormat="false" ht="15" hidden="false" customHeight="false" outlineLevel="0" collapsed="false">
      <c r="A1042" s="3" t="s">
        <v>1074</v>
      </c>
      <c r="B1042" s="4" t="n">
        <v>45793</v>
      </c>
      <c r="C1042" s="3" t="s">
        <v>724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3" t="n">
        <v>1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/>
      <c r="P1042" s="3" t="n">
        <v>45.7</v>
      </c>
    </row>
    <row r="1043" customFormat="false" ht="15" hidden="false" customHeight="false" outlineLevel="0" collapsed="false">
      <c r="A1043" s="3" t="s">
        <v>1075</v>
      </c>
      <c r="B1043" s="4" t="n">
        <v>45668</v>
      </c>
      <c r="C1043" s="3" t="s">
        <v>724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1</v>
      </c>
      <c r="N1043" s="3" t="n">
        <v>0</v>
      </c>
      <c r="O1043" s="3"/>
      <c r="P1043" s="3" t="n">
        <v>42.2</v>
      </c>
    </row>
    <row r="1044" customFormat="false" ht="15" hidden="false" customHeight="false" outlineLevel="0" collapsed="false">
      <c r="A1044" s="3" t="s">
        <v>1076</v>
      </c>
      <c r="B1044" s="4" t="n">
        <v>45802</v>
      </c>
      <c r="C1044" s="3" t="s">
        <v>724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3" t="n">
        <v>0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2</v>
      </c>
      <c r="N1044" s="3" t="n">
        <v>0</v>
      </c>
      <c r="O1044" s="3"/>
      <c r="P1044" s="3" t="n">
        <v>61.9</v>
      </c>
    </row>
    <row r="1045" customFormat="false" ht="15" hidden="false" customHeight="false" outlineLevel="0" collapsed="false">
      <c r="A1045" s="3" t="s">
        <v>1077</v>
      </c>
      <c r="B1045" s="4" t="n">
        <v>45785</v>
      </c>
      <c r="C1045" s="3" t="s">
        <v>724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/>
      <c r="P1045" s="3" t="n">
        <v>44.9</v>
      </c>
    </row>
    <row r="1046" customFormat="false" ht="15" hidden="false" customHeight="false" outlineLevel="0" collapsed="false">
      <c r="A1046" s="3" t="s">
        <v>1078</v>
      </c>
      <c r="B1046" s="4" t="n">
        <v>45714</v>
      </c>
      <c r="C1046" s="3" t="s">
        <v>724</v>
      </c>
      <c r="D1046" s="3" t="s">
        <v>28</v>
      </c>
      <c r="E1046" s="3" t="s">
        <v>19</v>
      </c>
      <c r="F1046" s="3" t="s">
        <v>156</v>
      </c>
      <c r="G1046" s="3" t="s">
        <v>21</v>
      </c>
      <c r="H1046" s="3" t="n">
        <v>1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/>
      <c r="P1046" s="3" t="n">
        <v>68</v>
      </c>
    </row>
    <row r="1047" customFormat="false" ht="15" hidden="false" customHeight="false" outlineLevel="0" collapsed="false">
      <c r="A1047" s="3" t="s">
        <v>1079</v>
      </c>
      <c r="B1047" s="4" t="n">
        <v>45746</v>
      </c>
      <c r="C1047" s="3" t="s">
        <v>724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3" t="n">
        <v>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/>
      <c r="P1047" s="3" t="n">
        <v>61</v>
      </c>
    </row>
    <row r="1048" customFormat="false" ht="15" hidden="false" customHeight="false" outlineLevel="0" collapsed="false">
      <c r="A1048" s="3" t="s">
        <v>1080</v>
      </c>
      <c r="B1048" s="4" t="n">
        <v>45760</v>
      </c>
      <c r="C1048" s="3" t="s">
        <v>724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3" t="n">
        <v>1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/>
      <c r="P1048" s="3" t="n">
        <v>55</v>
      </c>
    </row>
    <row r="1049" customFormat="false" ht="15" hidden="false" customHeight="false" outlineLevel="0" collapsed="false">
      <c r="A1049" s="3" t="s">
        <v>1081</v>
      </c>
      <c r="B1049" s="4" t="n">
        <v>45708</v>
      </c>
      <c r="C1049" s="3" t="s">
        <v>724</v>
      </c>
      <c r="D1049" s="3" t="s">
        <v>28</v>
      </c>
      <c r="E1049" s="3" t="s">
        <v>156</v>
      </c>
      <c r="F1049" s="3" t="s">
        <v>29</v>
      </c>
      <c r="G1049" s="3" t="s">
        <v>21</v>
      </c>
      <c r="H1049" s="3" t="n">
        <v>1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/>
      <c r="P1049" s="3" t="n">
        <v>63.1</v>
      </c>
    </row>
    <row r="1050" customFormat="false" ht="15" hidden="false" customHeight="false" outlineLevel="0" collapsed="false">
      <c r="A1050" s="3" t="s">
        <v>1082</v>
      </c>
      <c r="B1050" s="4" t="n">
        <v>45766</v>
      </c>
      <c r="C1050" s="3" t="s">
        <v>724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3" t="n">
        <v>1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/>
      <c r="P1050" s="3" t="n">
        <v>75.8</v>
      </c>
    </row>
    <row r="1051" customFormat="false" ht="15" hidden="false" customHeight="false" outlineLevel="0" collapsed="false">
      <c r="A1051" s="3" t="s">
        <v>1083</v>
      </c>
      <c r="B1051" s="4" t="n">
        <v>45738</v>
      </c>
      <c r="C1051" s="3" t="s">
        <v>724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3" t="n">
        <v>1</v>
      </c>
      <c r="I1051" s="3" t="n">
        <v>1</v>
      </c>
      <c r="J1051" s="3" t="n">
        <v>0</v>
      </c>
      <c r="K1051" s="3" t="n">
        <v>0</v>
      </c>
      <c r="L1051" s="3" t="n">
        <v>0</v>
      </c>
      <c r="M1051" s="3" t="n">
        <v>1</v>
      </c>
      <c r="N1051" s="3" t="n">
        <v>0</v>
      </c>
      <c r="O1051" s="3"/>
      <c r="P1051" s="3" t="n">
        <v>43.8</v>
      </c>
    </row>
    <row r="1052" customFormat="false" ht="15" hidden="false" customHeight="false" outlineLevel="0" collapsed="false">
      <c r="A1052" s="3" t="s">
        <v>1084</v>
      </c>
      <c r="B1052" s="4" t="n">
        <v>45716</v>
      </c>
      <c r="C1052" s="3" t="s">
        <v>724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3" t="n">
        <v>1</v>
      </c>
      <c r="I1052" s="3" t="n">
        <v>1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/>
      <c r="P1052" s="3" t="n">
        <v>46.8</v>
      </c>
    </row>
    <row r="1053" customFormat="false" ht="15" hidden="false" customHeight="false" outlineLevel="0" collapsed="false">
      <c r="A1053" s="3" t="s">
        <v>1085</v>
      </c>
      <c r="B1053" s="4" t="n">
        <v>45801</v>
      </c>
      <c r="C1053" s="3" t="s">
        <v>724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3" t="n">
        <v>1</v>
      </c>
      <c r="I1053" s="3" t="n">
        <v>1</v>
      </c>
      <c r="J1053" s="3" t="n">
        <v>1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/>
      <c r="P1053" s="3" t="n">
        <v>97.4</v>
      </c>
    </row>
    <row r="1054" customFormat="false" ht="15" hidden="false" customHeight="false" outlineLevel="0" collapsed="false">
      <c r="A1054" s="3" t="s">
        <v>1086</v>
      </c>
      <c r="B1054" s="4" t="n">
        <v>45691</v>
      </c>
      <c r="C1054" s="3" t="s">
        <v>724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268.96</v>
      </c>
      <c r="M1054" s="3" t="n">
        <v>0</v>
      </c>
      <c r="N1054" s="3" t="n">
        <v>0</v>
      </c>
      <c r="O1054" s="3" t="n">
        <v>14</v>
      </c>
      <c r="P1054" s="3" t="n">
        <v>81</v>
      </c>
    </row>
    <row r="1055" customFormat="false" ht="15" hidden="false" customHeight="false" outlineLevel="0" collapsed="false">
      <c r="A1055" s="3" t="s">
        <v>1087</v>
      </c>
      <c r="B1055" s="4" t="n">
        <v>45684</v>
      </c>
      <c r="C1055" s="3" t="s">
        <v>724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3" t="n">
        <v>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1</v>
      </c>
      <c r="N1055" s="3" t="n">
        <v>0</v>
      </c>
      <c r="O1055" s="3"/>
      <c r="P1055" s="3" t="n">
        <v>58.9</v>
      </c>
    </row>
    <row r="1056" customFormat="false" ht="15" hidden="false" customHeight="false" outlineLevel="0" collapsed="false">
      <c r="A1056" s="3" t="s">
        <v>1088</v>
      </c>
      <c r="B1056" s="4" t="n">
        <v>45764</v>
      </c>
      <c r="C1056" s="3" t="s">
        <v>724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3" t="n">
        <v>1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/>
      <c r="P1056" s="3" t="n">
        <v>51.9</v>
      </c>
    </row>
    <row r="1057" customFormat="false" ht="15" hidden="false" customHeight="false" outlineLevel="0" collapsed="false">
      <c r="A1057" s="3" t="s">
        <v>1089</v>
      </c>
      <c r="B1057" s="4" t="n">
        <v>45694</v>
      </c>
      <c r="C1057" s="3" t="s">
        <v>724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3" t="n">
        <v>1</v>
      </c>
      <c r="I1057" s="3" t="n">
        <v>1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/>
      <c r="P1057" s="3" t="n">
        <v>61.7</v>
      </c>
    </row>
    <row r="1058" customFormat="false" ht="15" hidden="false" customHeight="false" outlineLevel="0" collapsed="false">
      <c r="A1058" s="3" t="s">
        <v>1090</v>
      </c>
      <c r="B1058" s="4" t="n">
        <v>45767</v>
      </c>
      <c r="C1058" s="3" t="s">
        <v>724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3" t="n">
        <v>1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/>
      <c r="P1058" s="3" t="n">
        <v>44.7</v>
      </c>
    </row>
    <row r="1059" customFormat="false" ht="15" hidden="false" customHeight="false" outlineLevel="0" collapsed="false">
      <c r="A1059" s="3" t="s">
        <v>1091</v>
      </c>
      <c r="B1059" s="4" t="n">
        <v>45783</v>
      </c>
      <c r="C1059" s="3" t="s">
        <v>724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3" t="n">
        <v>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0</v>
      </c>
      <c r="O1059" s="3"/>
      <c r="P1059" s="3" t="n">
        <v>63.2</v>
      </c>
    </row>
    <row r="1060" customFormat="false" ht="15" hidden="false" customHeight="false" outlineLevel="0" collapsed="false">
      <c r="A1060" s="3" t="s">
        <v>1092</v>
      </c>
      <c r="B1060" s="4" t="n">
        <v>45793</v>
      </c>
      <c r="C1060" s="3" t="s">
        <v>724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3" t="n">
        <v>1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/>
      <c r="P1060" s="3" t="n">
        <v>70.3</v>
      </c>
    </row>
    <row r="1061" customFormat="false" ht="15" hidden="false" customHeight="false" outlineLevel="0" collapsed="false">
      <c r="A1061" s="3" t="s">
        <v>1093</v>
      </c>
      <c r="B1061" s="4" t="n">
        <v>45718</v>
      </c>
      <c r="C1061" s="3" t="s">
        <v>724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3" t="n">
        <v>1</v>
      </c>
      <c r="I1061" s="3" t="n">
        <v>1</v>
      </c>
      <c r="J1061" s="3" t="n">
        <v>0</v>
      </c>
      <c r="K1061" s="3" t="n">
        <v>0</v>
      </c>
      <c r="L1061" s="3" t="n">
        <v>0</v>
      </c>
      <c r="M1061" s="3" t="n">
        <v>1</v>
      </c>
      <c r="N1061" s="3" t="n">
        <v>0</v>
      </c>
      <c r="O1061" s="3"/>
      <c r="P1061" s="3" t="n">
        <v>83.1</v>
      </c>
    </row>
    <row r="1062" customFormat="false" ht="15" hidden="false" customHeight="false" outlineLevel="0" collapsed="false">
      <c r="A1062" s="3" t="s">
        <v>1094</v>
      </c>
      <c r="B1062" s="4" t="n">
        <v>45756</v>
      </c>
      <c r="C1062" s="3" t="s">
        <v>724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3" t="n">
        <v>0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0</v>
      </c>
      <c r="O1062" s="3"/>
      <c r="P1062" s="3" t="n">
        <v>50.3</v>
      </c>
    </row>
    <row r="1063" customFormat="false" ht="15" hidden="false" customHeight="false" outlineLevel="0" collapsed="false">
      <c r="A1063" s="3" t="s">
        <v>1095</v>
      </c>
      <c r="B1063" s="4" t="n">
        <v>45683</v>
      </c>
      <c r="C1063" s="3" t="s">
        <v>724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437.09</v>
      </c>
      <c r="M1063" s="3" t="n">
        <v>2</v>
      </c>
      <c r="N1063" s="3" t="n">
        <v>1</v>
      </c>
      <c r="O1063" s="3" t="n">
        <v>1</v>
      </c>
      <c r="P1063" s="3" t="n">
        <v>58.2</v>
      </c>
    </row>
    <row r="1064" customFormat="false" ht="15" hidden="false" customHeight="false" outlineLevel="0" collapsed="false">
      <c r="A1064" s="3" t="s">
        <v>1096</v>
      </c>
      <c r="B1064" s="4" t="n">
        <v>45713</v>
      </c>
      <c r="C1064" s="3" t="s">
        <v>724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3" t="n">
        <v>1</v>
      </c>
      <c r="I1064" s="3" t="n">
        <v>1</v>
      </c>
      <c r="J1064" s="3" t="n">
        <v>1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/>
      <c r="P1064" s="3" t="n">
        <v>53.2</v>
      </c>
    </row>
    <row r="1065" customFormat="false" ht="15" hidden="false" customHeight="false" outlineLevel="0" collapsed="false">
      <c r="A1065" s="3" t="s">
        <v>1097</v>
      </c>
      <c r="B1065" s="4" t="n">
        <v>45664</v>
      </c>
      <c r="C1065" s="3" t="s">
        <v>724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3" t="n">
        <v>0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0</v>
      </c>
      <c r="O1065" s="3"/>
      <c r="P1065" s="3" t="n">
        <v>36.4</v>
      </c>
    </row>
    <row r="1066" customFormat="false" ht="15" hidden="false" customHeight="false" outlineLevel="0" collapsed="false">
      <c r="A1066" s="3" t="s">
        <v>1098</v>
      </c>
      <c r="B1066" s="4" t="n">
        <v>45724</v>
      </c>
      <c r="C1066" s="3" t="s">
        <v>724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3" t="n">
        <v>1</v>
      </c>
      <c r="I1066" s="3" t="n">
        <v>1</v>
      </c>
      <c r="J1066" s="3" t="n">
        <v>1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/>
      <c r="P1066" s="3" t="n">
        <v>72.7</v>
      </c>
    </row>
    <row r="1067" customFormat="false" ht="15" hidden="false" customHeight="false" outlineLevel="0" collapsed="false">
      <c r="A1067" s="3" t="s">
        <v>1099</v>
      </c>
      <c r="B1067" s="4" t="n">
        <v>45799</v>
      </c>
      <c r="C1067" s="3" t="s">
        <v>724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3" t="n">
        <v>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1</v>
      </c>
      <c r="N1067" s="3" t="n">
        <v>0</v>
      </c>
      <c r="O1067" s="3"/>
      <c r="P1067" s="3" t="n">
        <v>86.7</v>
      </c>
    </row>
    <row r="1068" customFormat="false" ht="15" hidden="false" customHeight="false" outlineLevel="0" collapsed="false">
      <c r="A1068" s="3" t="s">
        <v>1100</v>
      </c>
      <c r="B1068" s="4" t="n">
        <v>45765</v>
      </c>
      <c r="C1068" s="3" t="s">
        <v>724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3" t="n">
        <v>1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/>
      <c r="P1068" s="3" t="n">
        <v>48.2</v>
      </c>
    </row>
    <row r="1069" customFormat="false" ht="15" hidden="false" customHeight="false" outlineLevel="0" collapsed="false">
      <c r="A1069" s="3" t="s">
        <v>1101</v>
      </c>
      <c r="B1069" s="4" t="n">
        <v>45712</v>
      </c>
      <c r="C1069" s="3" t="s">
        <v>724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1</v>
      </c>
      <c r="N1069" s="3" t="n">
        <v>0</v>
      </c>
      <c r="O1069" s="3"/>
      <c r="P1069" s="3" t="n">
        <v>57.6</v>
      </c>
    </row>
    <row r="1070" customFormat="false" ht="15" hidden="false" customHeight="false" outlineLevel="0" collapsed="false">
      <c r="A1070" s="3" t="s">
        <v>1102</v>
      </c>
      <c r="B1070" s="4" t="n">
        <v>45699</v>
      </c>
      <c r="C1070" s="3" t="s">
        <v>724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3" t="n">
        <v>1</v>
      </c>
      <c r="I1070" s="3" t="n">
        <v>1</v>
      </c>
      <c r="J1070" s="3" t="n">
        <v>1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/>
      <c r="P1070" s="3" t="n">
        <v>75.7</v>
      </c>
    </row>
    <row r="1071" customFormat="false" ht="15" hidden="false" customHeight="false" outlineLevel="0" collapsed="false">
      <c r="A1071" s="3" t="s">
        <v>1103</v>
      </c>
      <c r="B1071" s="4" t="n">
        <v>45727</v>
      </c>
      <c r="C1071" s="3" t="s">
        <v>724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3" t="n">
        <v>1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2</v>
      </c>
      <c r="N1071" s="3" t="n">
        <v>0</v>
      </c>
      <c r="O1071" s="3"/>
      <c r="P1071" s="3" t="n">
        <v>48.6</v>
      </c>
    </row>
    <row r="1072" customFormat="false" ht="15" hidden="false" customHeight="false" outlineLevel="0" collapsed="false">
      <c r="A1072" s="3" t="s">
        <v>1104</v>
      </c>
      <c r="B1072" s="4" t="n">
        <v>45758</v>
      </c>
      <c r="C1072" s="3" t="s">
        <v>724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3" t="n">
        <v>1</v>
      </c>
      <c r="I1072" s="3" t="n">
        <v>1</v>
      </c>
      <c r="J1072" s="3" t="n">
        <v>1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/>
      <c r="P1072" s="3" t="n">
        <v>72</v>
      </c>
    </row>
    <row r="1073" customFormat="false" ht="15" hidden="false" customHeight="false" outlineLevel="0" collapsed="false">
      <c r="A1073" s="3" t="s">
        <v>1105</v>
      </c>
      <c r="B1073" s="4" t="n">
        <v>45727</v>
      </c>
      <c r="C1073" s="3" t="s">
        <v>724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/>
      <c r="P1073" s="3" t="n">
        <v>72.2</v>
      </c>
    </row>
    <row r="1074" customFormat="false" ht="15" hidden="false" customHeight="false" outlineLevel="0" collapsed="false">
      <c r="A1074" s="3" t="s">
        <v>1106</v>
      </c>
      <c r="B1074" s="4" t="n">
        <v>45799</v>
      </c>
      <c r="C1074" s="3" t="s">
        <v>724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3" t="n">
        <v>1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1</v>
      </c>
      <c r="N1074" s="3" t="n">
        <v>0</v>
      </c>
      <c r="O1074" s="3"/>
      <c r="P1074" s="3"/>
    </row>
    <row r="1075" customFormat="false" ht="15" hidden="false" customHeight="false" outlineLevel="0" collapsed="false">
      <c r="A1075" s="3" t="s">
        <v>1107</v>
      </c>
      <c r="B1075" s="4" t="n">
        <v>45710</v>
      </c>
      <c r="C1075" s="3" t="s">
        <v>724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331.53</v>
      </c>
      <c r="M1075" s="3" t="n">
        <v>2</v>
      </c>
      <c r="N1075" s="3" t="n">
        <v>0</v>
      </c>
      <c r="O1075" s="3" t="n">
        <v>4</v>
      </c>
      <c r="P1075" s="3" t="n">
        <v>56.8</v>
      </c>
    </row>
    <row r="1076" customFormat="false" ht="15" hidden="false" customHeight="false" outlineLevel="0" collapsed="false">
      <c r="A1076" s="3" t="s">
        <v>1108</v>
      </c>
      <c r="B1076" s="4" t="n">
        <v>45670</v>
      </c>
      <c r="C1076" s="3" t="s">
        <v>724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3" t="n">
        <v>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/>
      <c r="P1076" s="3" t="n">
        <v>62.5</v>
      </c>
    </row>
    <row r="1077" customFormat="false" ht="15" hidden="false" customHeight="false" outlineLevel="0" collapsed="false">
      <c r="A1077" s="3" t="s">
        <v>1109</v>
      </c>
      <c r="B1077" s="4" t="n">
        <v>45796</v>
      </c>
      <c r="C1077" s="3" t="s">
        <v>724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3" t="n">
        <v>1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0</v>
      </c>
      <c r="O1077" s="3"/>
      <c r="P1077" s="3" t="n">
        <v>63.4</v>
      </c>
    </row>
    <row r="1078" customFormat="false" ht="15" hidden="false" customHeight="false" outlineLevel="0" collapsed="false">
      <c r="A1078" s="3" t="s">
        <v>1110</v>
      </c>
      <c r="B1078" s="4" t="n">
        <v>45724</v>
      </c>
      <c r="C1078" s="3" t="s">
        <v>724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774.78</v>
      </c>
      <c r="M1078" s="3" t="n">
        <v>0</v>
      </c>
      <c r="N1078" s="3" t="n">
        <v>0</v>
      </c>
      <c r="O1078" s="3" t="n">
        <v>3</v>
      </c>
      <c r="P1078" s="3" t="n">
        <v>46.8</v>
      </c>
    </row>
    <row r="1079" customFormat="false" ht="15" hidden="false" customHeight="false" outlineLevel="0" collapsed="false">
      <c r="A1079" s="3" t="s">
        <v>1111</v>
      </c>
      <c r="B1079" s="4" t="n">
        <v>45767</v>
      </c>
      <c r="C1079" s="3" t="s">
        <v>724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3" t="n">
        <v>1</v>
      </c>
      <c r="I1079" s="3" t="n">
        <v>1</v>
      </c>
      <c r="J1079" s="3" t="n">
        <v>1</v>
      </c>
      <c r="K1079" s="3" t="n">
        <v>1</v>
      </c>
      <c r="L1079" s="3" t="n">
        <v>422.02</v>
      </c>
      <c r="M1079" s="3" t="n">
        <v>0</v>
      </c>
      <c r="N1079" s="3" t="n">
        <v>0</v>
      </c>
      <c r="O1079" s="3" t="n">
        <v>8</v>
      </c>
      <c r="P1079" s="3" t="n">
        <v>86.5</v>
      </c>
    </row>
    <row r="1080" customFormat="false" ht="15" hidden="false" customHeight="false" outlineLevel="0" collapsed="false">
      <c r="A1080" s="3" t="s">
        <v>1112</v>
      </c>
      <c r="B1080" s="4" t="n">
        <v>45785</v>
      </c>
      <c r="C1080" s="3" t="s">
        <v>724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3" t="n">
        <v>0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1</v>
      </c>
      <c r="N1080" s="3" t="n">
        <v>0</v>
      </c>
      <c r="O1080" s="3"/>
      <c r="P1080" s="3" t="n">
        <v>75.1</v>
      </c>
    </row>
    <row r="1081" customFormat="false" ht="15" hidden="false" customHeight="false" outlineLevel="0" collapsed="false">
      <c r="A1081" s="3" t="s">
        <v>1113</v>
      </c>
      <c r="B1081" s="4" t="n">
        <v>45787</v>
      </c>
      <c r="C1081" s="3" t="s">
        <v>724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3" t="n">
        <v>1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/>
      <c r="P1081" s="3" t="n">
        <v>64.5</v>
      </c>
    </row>
    <row r="1082" customFormat="false" ht="15" hidden="false" customHeight="false" outlineLevel="0" collapsed="false">
      <c r="A1082" s="3" t="s">
        <v>1114</v>
      </c>
      <c r="B1082" s="4" t="n">
        <v>45744</v>
      </c>
      <c r="C1082" s="3" t="s">
        <v>724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3" t="n">
        <v>1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/>
      <c r="P1082" s="3" t="n">
        <v>54.2</v>
      </c>
    </row>
    <row r="1083" customFormat="false" ht="15" hidden="false" customHeight="false" outlineLevel="0" collapsed="false">
      <c r="A1083" s="3" t="s">
        <v>1115</v>
      </c>
      <c r="B1083" s="4" t="n">
        <v>45777</v>
      </c>
      <c r="C1083" s="3" t="s">
        <v>724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3" t="n">
        <v>1</v>
      </c>
      <c r="I1083" s="3" t="n">
        <v>1</v>
      </c>
      <c r="J1083" s="3" t="n">
        <v>1</v>
      </c>
      <c r="K1083" s="3" t="n">
        <v>0</v>
      </c>
      <c r="L1083" s="3" t="n">
        <v>0</v>
      </c>
      <c r="M1083" s="3" t="n">
        <v>0</v>
      </c>
      <c r="N1083" s="3" t="n">
        <v>0</v>
      </c>
      <c r="O1083" s="3"/>
      <c r="P1083" s="3" t="n">
        <v>84.1</v>
      </c>
    </row>
    <row r="1084" customFormat="false" ht="15" hidden="false" customHeight="false" outlineLevel="0" collapsed="false">
      <c r="A1084" s="3" t="s">
        <v>1116</v>
      </c>
      <c r="B1084" s="4" t="n">
        <v>45696</v>
      </c>
      <c r="C1084" s="3" t="s">
        <v>724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3" t="n">
        <v>0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1</v>
      </c>
      <c r="N1084" s="3" t="n">
        <v>0</v>
      </c>
      <c r="O1084" s="3"/>
      <c r="P1084" s="3" t="n">
        <v>49.1</v>
      </c>
    </row>
    <row r="1085" customFormat="false" ht="15" hidden="false" customHeight="false" outlineLevel="0" collapsed="false">
      <c r="A1085" s="3" t="s">
        <v>1117</v>
      </c>
      <c r="B1085" s="4" t="n">
        <v>45723</v>
      </c>
      <c r="C1085" s="3" t="s">
        <v>724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3" t="n">
        <v>0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0</v>
      </c>
      <c r="O1085" s="3"/>
      <c r="P1085" s="3" t="n">
        <v>92.7</v>
      </c>
    </row>
    <row r="1086" customFormat="false" ht="15" hidden="false" customHeight="false" outlineLevel="0" collapsed="false">
      <c r="A1086" s="3" t="s">
        <v>1118</v>
      </c>
      <c r="B1086" s="4" t="n">
        <v>45798</v>
      </c>
      <c r="C1086" s="3" t="s">
        <v>724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3" t="n">
        <v>1</v>
      </c>
      <c r="I1086" s="3" t="n">
        <v>1</v>
      </c>
      <c r="J1086" s="3" t="n">
        <v>1</v>
      </c>
      <c r="K1086" s="3" t="n">
        <v>0</v>
      </c>
      <c r="L1086" s="3" t="n">
        <v>0</v>
      </c>
      <c r="M1086" s="3" t="n">
        <v>1</v>
      </c>
      <c r="N1086" s="3" t="n">
        <v>0</v>
      </c>
      <c r="O1086" s="3"/>
      <c r="P1086" s="3" t="n">
        <v>58.7</v>
      </c>
    </row>
    <row r="1087" customFormat="false" ht="15" hidden="false" customHeight="false" outlineLevel="0" collapsed="false">
      <c r="A1087" s="3" t="s">
        <v>1119</v>
      </c>
      <c r="B1087" s="4" t="n">
        <v>45759</v>
      </c>
      <c r="C1087" s="3" t="s">
        <v>724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3" t="n">
        <v>1</v>
      </c>
      <c r="I1087" s="3" t="n">
        <v>1</v>
      </c>
      <c r="J1087" s="3" t="n">
        <v>1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/>
      <c r="P1087" s="3" t="n">
        <v>59.3</v>
      </c>
    </row>
    <row r="1088" customFormat="false" ht="15" hidden="false" customHeight="false" outlineLevel="0" collapsed="false">
      <c r="A1088" s="3" t="s">
        <v>1120</v>
      </c>
      <c r="B1088" s="4" t="n">
        <v>45690</v>
      </c>
      <c r="C1088" s="3" t="s">
        <v>724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3" t="n">
        <v>1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/>
      <c r="P1088" s="3" t="n">
        <v>62</v>
      </c>
    </row>
    <row r="1089" customFormat="false" ht="15" hidden="false" customHeight="false" outlineLevel="0" collapsed="false">
      <c r="A1089" s="3" t="s">
        <v>1121</v>
      </c>
      <c r="B1089" s="4" t="n">
        <v>45769</v>
      </c>
      <c r="C1089" s="3" t="s">
        <v>724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3" t="n">
        <v>1</v>
      </c>
      <c r="I1089" s="3" t="n">
        <v>1</v>
      </c>
      <c r="J1089" s="3" t="n">
        <v>1</v>
      </c>
      <c r="K1089" s="3" t="n">
        <v>0</v>
      </c>
      <c r="L1089" s="3" t="n">
        <v>0</v>
      </c>
      <c r="M1089" s="3" t="n">
        <v>1</v>
      </c>
      <c r="N1089" s="3" t="n">
        <v>0</v>
      </c>
      <c r="O1089" s="3"/>
      <c r="P1089" s="3" t="n">
        <v>60.3</v>
      </c>
    </row>
    <row r="1090" customFormat="false" ht="15" hidden="false" customHeight="false" outlineLevel="0" collapsed="false">
      <c r="A1090" s="3" t="s">
        <v>1122</v>
      </c>
      <c r="B1090" s="4" t="n">
        <v>45696</v>
      </c>
      <c r="C1090" s="3" t="s">
        <v>724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3" t="n">
        <v>1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/>
      <c r="P1090" s="3" t="n">
        <v>70.5</v>
      </c>
    </row>
    <row r="1091" customFormat="false" ht="15" hidden="false" customHeight="false" outlineLevel="0" collapsed="false">
      <c r="A1091" s="3" t="s">
        <v>1123</v>
      </c>
      <c r="B1091" s="4" t="n">
        <v>45681</v>
      </c>
      <c r="C1091" s="3" t="s">
        <v>724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3" t="n">
        <v>1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/>
      <c r="P1091" s="3" t="n">
        <v>36.8</v>
      </c>
    </row>
    <row r="1092" customFormat="false" ht="15" hidden="false" customHeight="false" outlineLevel="0" collapsed="false">
      <c r="A1092" s="3" t="s">
        <v>1124</v>
      </c>
      <c r="B1092" s="4" t="n">
        <v>45789</v>
      </c>
      <c r="C1092" s="3" t="s">
        <v>724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3" t="n">
        <v>0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1</v>
      </c>
      <c r="N1092" s="3" t="n">
        <v>0</v>
      </c>
      <c r="O1092" s="3"/>
      <c r="P1092" s="3" t="n">
        <v>73.2</v>
      </c>
    </row>
    <row r="1093" customFormat="false" ht="15" hidden="false" customHeight="false" outlineLevel="0" collapsed="false">
      <c r="A1093" s="3" t="s">
        <v>1125</v>
      </c>
      <c r="B1093" s="4" t="n">
        <v>45746</v>
      </c>
      <c r="C1093" s="3" t="s">
        <v>724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3" t="n">
        <v>0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0</v>
      </c>
      <c r="O1093" s="3"/>
      <c r="P1093" s="3" t="n">
        <v>70.1</v>
      </c>
    </row>
    <row r="1094" customFormat="false" ht="15" hidden="false" customHeight="false" outlineLevel="0" collapsed="false">
      <c r="A1094" s="3" t="s">
        <v>1126</v>
      </c>
      <c r="B1094" s="4" t="n">
        <v>45659</v>
      </c>
      <c r="C1094" s="3" t="s">
        <v>724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3" t="n">
        <v>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/>
      <c r="P1094" s="3" t="n">
        <v>76.4</v>
      </c>
    </row>
    <row r="1095" customFormat="false" ht="15" hidden="false" customHeight="false" outlineLevel="0" collapsed="false">
      <c r="A1095" s="3" t="s">
        <v>1127</v>
      </c>
      <c r="B1095" s="4" t="n">
        <v>45737</v>
      </c>
      <c r="C1095" s="3" t="s">
        <v>724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/>
      <c r="P1095" s="3" t="n">
        <v>46.4</v>
      </c>
    </row>
    <row r="1096" customFormat="false" ht="15" hidden="false" customHeight="false" outlineLevel="0" collapsed="false">
      <c r="A1096" s="3" t="s">
        <v>1128</v>
      </c>
      <c r="B1096" s="4" t="n">
        <v>45682</v>
      </c>
      <c r="C1096" s="3" t="s">
        <v>724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3" t="n">
        <v>1</v>
      </c>
      <c r="I1096" s="3" t="n">
        <v>1</v>
      </c>
      <c r="J1096" s="3" t="n">
        <v>1</v>
      </c>
      <c r="K1096" s="3" t="n">
        <v>0</v>
      </c>
      <c r="L1096" s="3" t="n">
        <v>0</v>
      </c>
      <c r="M1096" s="3" t="n">
        <v>1</v>
      </c>
      <c r="N1096" s="3" t="n">
        <v>0</v>
      </c>
      <c r="O1096" s="3"/>
      <c r="P1096" s="3" t="n">
        <v>81.3</v>
      </c>
    </row>
    <row r="1097" customFormat="false" ht="15" hidden="false" customHeight="false" outlineLevel="0" collapsed="false">
      <c r="A1097" s="3" t="s">
        <v>1129</v>
      </c>
      <c r="B1097" s="4" t="n">
        <v>45669</v>
      </c>
      <c r="C1097" s="3" t="s">
        <v>724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3" t="n">
        <v>1</v>
      </c>
      <c r="I1097" s="3" t="n">
        <v>1</v>
      </c>
      <c r="J1097" s="3" t="n">
        <v>1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/>
      <c r="P1097" s="3" t="n">
        <v>55.3</v>
      </c>
    </row>
    <row r="1098" customFormat="false" ht="15" hidden="false" customHeight="false" outlineLevel="0" collapsed="false">
      <c r="A1098" s="3" t="s">
        <v>1130</v>
      </c>
      <c r="B1098" s="4" t="n">
        <v>45734</v>
      </c>
      <c r="C1098" s="3" t="s">
        <v>724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3" t="n">
        <v>1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/>
      <c r="P1098" s="3" t="n">
        <v>44.7</v>
      </c>
    </row>
    <row r="1099" customFormat="false" ht="15" hidden="false" customHeight="false" outlineLevel="0" collapsed="false">
      <c r="A1099" s="3" t="s">
        <v>1131</v>
      </c>
      <c r="B1099" s="4" t="n">
        <v>45742</v>
      </c>
      <c r="C1099" s="3" t="s">
        <v>724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3" t="n">
        <v>1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/>
      <c r="P1099" s="3" t="n">
        <v>67.2</v>
      </c>
    </row>
    <row r="1100" customFormat="false" ht="15" hidden="false" customHeight="false" outlineLevel="0" collapsed="false">
      <c r="A1100" s="3" t="s">
        <v>1132</v>
      </c>
      <c r="B1100" s="4" t="n">
        <v>45766</v>
      </c>
      <c r="C1100" s="3" t="s">
        <v>724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3" t="n">
        <v>1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0</v>
      </c>
      <c r="O1100" s="3"/>
      <c r="P1100" s="3"/>
    </row>
    <row r="1101" customFormat="false" ht="15" hidden="false" customHeight="false" outlineLevel="0" collapsed="false">
      <c r="A1101" s="3" t="s">
        <v>1133</v>
      </c>
      <c r="B1101" s="4" t="n">
        <v>45764</v>
      </c>
      <c r="C1101" s="3" t="s">
        <v>724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3" t="n">
        <v>1</v>
      </c>
      <c r="I1101" s="3" t="n">
        <v>1</v>
      </c>
      <c r="J1101" s="3" t="n">
        <v>1</v>
      </c>
      <c r="K1101" s="3" t="n">
        <v>0</v>
      </c>
      <c r="L1101" s="3" t="n">
        <v>0</v>
      </c>
      <c r="M1101" s="3" t="n">
        <v>1</v>
      </c>
      <c r="N1101" s="3" t="n">
        <v>0</v>
      </c>
      <c r="O1101" s="3"/>
      <c r="P1101" s="3" t="n">
        <v>70.8</v>
      </c>
    </row>
    <row r="1102" customFormat="false" ht="15" hidden="false" customHeight="false" outlineLevel="0" collapsed="false">
      <c r="A1102" s="3" t="s">
        <v>1134</v>
      </c>
      <c r="B1102" s="4" t="n">
        <v>45803</v>
      </c>
      <c r="C1102" s="3" t="s">
        <v>724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3" t="n">
        <v>1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/>
      <c r="P1102" s="3" t="n">
        <v>71.3</v>
      </c>
    </row>
    <row r="1103" customFormat="false" ht="15" hidden="false" customHeight="false" outlineLevel="0" collapsed="false">
      <c r="A1103" s="3" t="s">
        <v>1135</v>
      </c>
      <c r="B1103" s="4" t="n">
        <v>45761</v>
      </c>
      <c r="C1103" s="3" t="s">
        <v>724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3" t="n">
        <v>1</v>
      </c>
      <c r="I1103" s="3" t="n">
        <v>1</v>
      </c>
      <c r="J1103" s="3" t="n">
        <v>1</v>
      </c>
      <c r="K1103" s="3" t="n">
        <v>0</v>
      </c>
      <c r="L1103" s="3" t="n">
        <v>0</v>
      </c>
      <c r="M1103" s="3" t="n">
        <v>0</v>
      </c>
      <c r="N1103" s="3" t="n">
        <v>0</v>
      </c>
      <c r="O1103" s="3"/>
      <c r="P1103" s="3" t="n">
        <v>69.4</v>
      </c>
    </row>
    <row r="1104" customFormat="false" ht="15" hidden="false" customHeight="false" outlineLevel="0" collapsed="false">
      <c r="A1104" s="3" t="s">
        <v>1136</v>
      </c>
      <c r="B1104" s="4" t="n">
        <v>45680</v>
      </c>
      <c r="C1104" s="3" t="s">
        <v>724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3" t="n">
        <v>1</v>
      </c>
      <c r="I1104" s="3" t="n">
        <v>1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0</v>
      </c>
      <c r="O1104" s="3"/>
      <c r="P1104" s="3" t="n">
        <v>58.9</v>
      </c>
    </row>
    <row r="1105" customFormat="false" ht="15" hidden="false" customHeight="false" outlineLevel="0" collapsed="false">
      <c r="A1105" s="3" t="s">
        <v>1137</v>
      </c>
      <c r="B1105" s="4" t="n">
        <v>45663</v>
      </c>
      <c r="C1105" s="3" t="s">
        <v>724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/>
      <c r="P1105" s="3" t="n">
        <v>70.7</v>
      </c>
    </row>
    <row r="1106" customFormat="false" ht="15" hidden="false" customHeight="false" outlineLevel="0" collapsed="false">
      <c r="A1106" s="3" t="s">
        <v>1138</v>
      </c>
      <c r="B1106" s="4" t="n">
        <v>45808</v>
      </c>
      <c r="C1106" s="3" t="s">
        <v>724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3" t="n">
        <v>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/>
      <c r="P1106" s="3" t="n">
        <v>60.5</v>
      </c>
    </row>
    <row r="1107" customFormat="false" ht="15" hidden="false" customHeight="false" outlineLevel="0" collapsed="false">
      <c r="A1107" s="3" t="s">
        <v>1139</v>
      </c>
      <c r="B1107" s="4" t="n">
        <v>45796</v>
      </c>
      <c r="C1107" s="3" t="s">
        <v>724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3" t="n">
        <v>1</v>
      </c>
      <c r="I1107" s="3" t="n">
        <v>1</v>
      </c>
      <c r="J1107" s="3" t="n">
        <v>1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/>
      <c r="P1107" s="3" t="n">
        <v>77.3</v>
      </c>
    </row>
    <row r="1108" customFormat="false" ht="15" hidden="false" customHeight="false" outlineLevel="0" collapsed="false">
      <c r="A1108" s="3" t="s">
        <v>1140</v>
      </c>
      <c r="B1108" s="4" t="n">
        <v>45713</v>
      </c>
      <c r="C1108" s="3" t="s">
        <v>724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1</v>
      </c>
      <c r="N1108" s="3" t="n">
        <v>0</v>
      </c>
      <c r="O1108" s="3"/>
      <c r="P1108" s="3" t="n">
        <v>39.5</v>
      </c>
    </row>
    <row r="1109" customFormat="false" ht="15" hidden="false" customHeight="false" outlineLevel="0" collapsed="false">
      <c r="A1109" s="3" t="s">
        <v>1141</v>
      </c>
      <c r="B1109" s="4" t="n">
        <v>45667</v>
      </c>
      <c r="C1109" s="3" t="s">
        <v>724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3" t="n">
        <v>1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/>
      <c r="P1109" s="3" t="n">
        <v>68.1</v>
      </c>
    </row>
    <row r="1110" customFormat="false" ht="15" hidden="false" customHeight="false" outlineLevel="0" collapsed="false">
      <c r="A1110" s="3" t="s">
        <v>1142</v>
      </c>
      <c r="B1110" s="4" t="n">
        <v>45790</v>
      </c>
      <c r="C1110" s="3" t="s">
        <v>724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/>
      <c r="P1110" s="3" t="n">
        <v>80.3</v>
      </c>
    </row>
    <row r="1111" customFormat="false" ht="15" hidden="false" customHeight="false" outlineLevel="0" collapsed="false">
      <c r="A1111" s="3" t="s">
        <v>1143</v>
      </c>
      <c r="B1111" s="4" t="n">
        <v>45774</v>
      </c>
      <c r="C1111" s="3" t="s">
        <v>724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3" t="n">
        <v>1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/>
      <c r="P1111" s="3" t="n">
        <v>77.7</v>
      </c>
    </row>
    <row r="1112" customFormat="false" ht="15" hidden="false" customHeight="false" outlineLevel="0" collapsed="false">
      <c r="A1112" s="3" t="s">
        <v>1144</v>
      </c>
      <c r="B1112" s="4" t="n">
        <v>45750</v>
      </c>
      <c r="C1112" s="3" t="s">
        <v>724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3" t="n">
        <v>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1</v>
      </c>
      <c r="N1112" s="3" t="n">
        <v>0</v>
      </c>
      <c r="O1112" s="3"/>
      <c r="P1112" s="3" t="n">
        <v>66.2</v>
      </c>
    </row>
    <row r="1113" customFormat="false" ht="15" hidden="false" customHeight="false" outlineLevel="0" collapsed="false">
      <c r="A1113" s="3" t="s">
        <v>1145</v>
      </c>
      <c r="B1113" s="4" t="n">
        <v>45742</v>
      </c>
      <c r="C1113" s="3" t="s">
        <v>724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3" t="n">
        <v>1</v>
      </c>
      <c r="I1113" s="3" t="n">
        <v>1</v>
      </c>
      <c r="J1113" s="3" t="n">
        <v>1</v>
      </c>
      <c r="K1113" s="3" t="n">
        <v>0</v>
      </c>
      <c r="L1113" s="3" t="n">
        <v>0</v>
      </c>
      <c r="M1113" s="3" t="n">
        <v>1</v>
      </c>
      <c r="N1113" s="3" t="n">
        <v>0</v>
      </c>
      <c r="O1113" s="3"/>
      <c r="P1113" s="3" t="n">
        <v>43.9</v>
      </c>
    </row>
    <row r="1114" customFormat="false" ht="15" hidden="false" customHeight="false" outlineLevel="0" collapsed="false">
      <c r="A1114" s="3" t="s">
        <v>1146</v>
      </c>
      <c r="B1114" s="4" t="n">
        <v>45688</v>
      </c>
      <c r="C1114" s="3" t="s">
        <v>724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3" t="n">
        <v>1</v>
      </c>
      <c r="I1114" s="3" t="n">
        <v>1</v>
      </c>
      <c r="J1114" s="3" t="n">
        <v>1</v>
      </c>
      <c r="K1114" s="3" t="n">
        <v>0</v>
      </c>
      <c r="L1114" s="3" t="n">
        <v>0</v>
      </c>
      <c r="M1114" s="3" t="n">
        <v>2</v>
      </c>
      <c r="N1114" s="3" t="n">
        <v>0</v>
      </c>
      <c r="O1114" s="3"/>
      <c r="P1114" s="3" t="n">
        <v>59.1</v>
      </c>
    </row>
    <row r="1115" customFormat="false" ht="15" hidden="false" customHeight="false" outlineLevel="0" collapsed="false">
      <c r="A1115" s="3" t="s">
        <v>1147</v>
      </c>
      <c r="B1115" s="4" t="n">
        <v>45682</v>
      </c>
      <c r="C1115" s="3" t="s">
        <v>724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3" t="n">
        <v>1</v>
      </c>
      <c r="I1115" s="3" t="n">
        <v>1</v>
      </c>
      <c r="J1115" s="3" t="n">
        <v>1</v>
      </c>
      <c r="K1115" s="3" t="n">
        <v>1</v>
      </c>
      <c r="L1115" s="3" t="n">
        <v>416.94</v>
      </c>
      <c r="M1115" s="3" t="n">
        <v>1</v>
      </c>
      <c r="N1115" s="3" t="n">
        <v>0</v>
      </c>
      <c r="O1115" s="3" t="n">
        <v>11</v>
      </c>
      <c r="P1115" s="3" t="n">
        <v>67</v>
      </c>
    </row>
    <row r="1116" customFormat="false" ht="15" hidden="false" customHeight="false" outlineLevel="0" collapsed="false">
      <c r="A1116" s="3" t="s">
        <v>1148</v>
      </c>
      <c r="B1116" s="4" t="n">
        <v>45694</v>
      </c>
      <c r="C1116" s="3" t="s">
        <v>724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3" t="n">
        <v>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/>
      <c r="P1116" s="3" t="n">
        <v>47.9</v>
      </c>
    </row>
    <row r="1117" customFormat="false" ht="15" hidden="false" customHeight="false" outlineLevel="0" collapsed="false">
      <c r="A1117" s="3" t="s">
        <v>1149</v>
      </c>
      <c r="B1117" s="4" t="n">
        <v>45726</v>
      </c>
      <c r="C1117" s="3" t="s">
        <v>724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3" t="n">
        <v>1</v>
      </c>
      <c r="I1117" s="3" t="n">
        <v>1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/>
      <c r="P1117" s="3" t="n">
        <v>41.5</v>
      </c>
    </row>
    <row r="1118" customFormat="false" ht="15" hidden="false" customHeight="false" outlineLevel="0" collapsed="false">
      <c r="A1118" s="3" t="s">
        <v>1150</v>
      </c>
      <c r="B1118" s="4" t="n">
        <v>45683</v>
      </c>
      <c r="C1118" s="3" t="s">
        <v>724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3" t="n">
        <v>1</v>
      </c>
      <c r="I1118" s="3" t="n">
        <v>1</v>
      </c>
      <c r="J1118" s="3" t="n">
        <v>1</v>
      </c>
      <c r="K1118" s="3" t="n">
        <v>0</v>
      </c>
      <c r="L1118" s="3" t="n">
        <v>0</v>
      </c>
      <c r="M1118" s="3" t="n">
        <v>3</v>
      </c>
      <c r="N1118" s="3" t="n">
        <v>0</v>
      </c>
      <c r="O1118" s="3"/>
      <c r="P1118" s="3" t="n">
        <v>30.6</v>
      </c>
    </row>
    <row r="1119" customFormat="false" ht="15" hidden="false" customHeight="false" outlineLevel="0" collapsed="false">
      <c r="A1119" s="3" t="s">
        <v>1151</v>
      </c>
      <c r="B1119" s="4" t="n">
        <v>45658</v>
      </c>
      <c r="C1119" s="3" t="s">
        <v>724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3" t="n">
        <v>1</v>
      </c>
      <c r="I1119" s="3" t="n">
        <v>1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/>
      <c r="P1119" s="3" t="n">
        <v>91.5</v>
      </c>
    </row>
    <row r="1120" customFormat="false" ht="15" hidden="false" customHeight="false" outlineLevel="0" collapsed="false">
      <c r="A1120" s="3" t="s">
        <v>1152</v>
      </c>
      <c r="B1120" s="4" t="n">
        <v>45775</v>
      </c>
      <c r="C1120" s="3" t="s">
        <v>724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3" t="n">
        <v>1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/>
      <c r="P1120" s="3" t="n">
        <v>80.8</v>
      </c>
    </row>
    <row r="1121" customFormat="false" ht="15" hidden="false" customHeight="false" outlineLevel="0" collapsed="false">
      <c r="A1121" s="3" t="s">
        <v>1153</v>
      </c>
      <c r="B1121" s="4" t="n">
        <v>45751</v>
      </c>
      <c r="C1121" s="3" t="s">
        <v>724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3" t="n">
        <v>1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/>
      <c r="P1121" s="3" t="n">
        <v>68.1</v>
      </c>
    </row>
    <row r="1122" customFormat="false" ht="15" hidden="false" customHeight="false" outlineLevel="0" collapsed="false">
      <c r="A1122" s="3" t="s">
        <v>1154</v>
      </c>
      <c r="B1122" s="4" t="n">
        <v>45718</v>
      </c>
      <c r="C1122" s="3" t="s">
        <v>724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3" t="n">
        <v>1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/>
      <c r="P1122" s="3" t="n">
        <v>80.3</v>
      </c>
    </row>
    <row r="1123" customFormat="false" ht="15" hidden="false" customHeight="false" outlineLevel="0" collapsed="false">
      <c r="A1123" s="3" t="s">
        <v>1155</v>
      </c>
      <c r="B1123" s="4" t="n">
        <v>45735</v>
      </c>
      <c r="C1123" s="3" t="s">
        <v>724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3" t="n">
        <v>1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/>
      <c r="P1123" s="3" t="n">
        <v>44.4</v>
      </c>
    </row>
    <row r="1124" customFormat="false" ht="15" hidden="false" customHeight="false" outlineLevel="0" collapsed="false">
      <c r="A1124" s="3" t="s">
        <v>1156</v>
      </c>
      <c r="B1124" s="4" t="n">
        <v>45677</v>
      </c>
      <c r="C1124" s="3" t="s">
        <v>724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3" t="n">
        <v>0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/>
      <c r="P1124" s="3" t="n">
        <v>51.9</v>
      </c>
    </row>
    <row r="1125" customFormat="false" ht="15" hidden="false" customHeight="false" outlineLevel="0" collapsed="false">
      <c r="A1125" s="3" t="s">
        <v>1157</v>
      </c>
      <c r="B1125" s="4" t="n">
        <v>45750</v>
      </c>
      <c r="C1125" s="3" t="s">
        <v>724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3" t="n">
        <v>1</v>
      </c>
      <c r="I1125" s="3" t="n">
        <v>1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0</v>
      </c>
      <c r="O1125" s="3"/>
      <c r="P1125" s="3" t="n">
        <v>49.8</v>
      </c>
    </row>
    <row r="1126" customFormat="false" ht="15" hidden="false" customHeight="false" outlineLevel="0" collapsed="false">
      <c r="A1126" s="3" t="s">
        <v>1158</v>
      </c>
      <c r="B1126" s="4" t="n">
        <v>45668</v>
      </c>
      <c r="C1126" s="3" t="s">
        <v>724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3" t="n">
        <v>1</v>
      </c>
      <c r="I1126" s="3" t="n">
        <v>1</v>
      </c>
      <c r="J1126" s="3" t="n">
        <v>1</v>
      </c>
      <c r="K1126" s="3" t="n">
        <v>0</v>
      </c>
      <c r="L1126" s="3" t="n">
        <v>0</v>
      </c>
      <c r="M1126" s="3" t="n">
        <v>3</v>
      </c>
      <c r="N1126" s="3" t="n">
        <v>0</v>
      </c>
      <c r="O1126" s="3"/>
      <c r="P1126" s="3" t="n">
        <v>62.1</v>
      </c>
    </row>
    <row r="1127" customFormat="false" ht="15" hidden="false" customHeight="false" outlineLevel="0" collapsed="false">
      <c r="A1127" s="3" t="s">
        <v>1159</v>
      </c>
      <c r="B1127" s="4" t="n">
        <v>45690</v>
      </c>
      <c r="C1127" s="3" t="s">
        <v>724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3" t="n">
        <v>1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0</v>
      </c>
      <c r="O1127" s="3"/>
      <c r="P1127" s="3" t="n">
        <v>91.3</v>
      </c>
    </row>
    <row r="1128" customFormat="false" ht="15" hidden="false" customHeight="false" outlineLevel="0" collapsed="false">
      <c r="A1128" s="3" t="s">
        <v>1160</v>
      </c>
      <c r="B1128" s="4" t="n">
        <v>45748</v>
      </c>
      <c r="C1128" s="3" t="s">
        <v>724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3" t="n">
        <v>1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/>
      <c r="P1128" s="3" t="n">
        <v>66.4</v>
      </c>
    </row>
    <row r="1129" customFormat="false" ht="15" hidden="false" customHeight="false" outlineLevel="0" collapsed="false">
      <c r="A1129" s="3" t="s">
        <v>1161</v>
      </c>
      <c r="B1129" s="4" t="n">
        <v>45799</v>
      </c>
      <c r="C1129" s="3" t="s">
        <v>724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3" t="n">
        <v>1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/>
      <c r="P1129" s="3" t="n">
        <v>41.5</v>
      </c>
    </row>
    <row r="1130" customFormat="false" ht="15" hidden="false" customHeight="false" outlineLevel="0" collapsed="false">
      <c r="A1130" s="3" t="s">
        <v>1162</v>
      </c>
      <c r="B1130" s="4" t="n">
        <v>45708</v>
      </c>
      <c r="C1130" s="3" t="s">
        <v>724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3" t="n">
        <v>0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/>
      <c r="P1130" s="3" t="n">
        <v>77.1</v>
      </c>
    </row>
    <row r="1131" customFormat="false" ht="15" hidden="false" customHeight="false" outlineLevel="0" collapsed="false">
      <c r="A1131" s="3" t="s">
        <v>1163</v>
      </c>
      <c r="B1131" s="4" t="n">
        <v>45737</v>
      </c>
      <c r="C1131" s="3" t="s">
        <v>724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3" t="n">
        <v>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/>
      <c r="P1131" s="3" t="n">
        <v>63.2</v>
      </c>
    </row>
    <row r="1132" customFormat="false" ht="15" hidden="false" customHeight="false" outlineLevel="0" collapsed="false">
      <c r="A1132" s="3" t="s">
        <v>1164</v>
      </c>
      <c r="B1132" s="4" t="n">
        <v>45778</v>
      </c>
      <c r="C1132" s="3" t="s">
        <v>724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3" t="n">
        <v>1</v>
      </c>
      <c r="I1132" s="3" t="n">
        <v>1</v>
      </c>
      <c r="J1132" s="3" t="n">
        <v>1</v>
      </c>
      <c r="K1132" s="3" t="n">
        <v>0</v>
      </c>
      <c r="L1132" s="3" t="n">
        <v>0</v>
      </c>
      <c r="M1132" s="3" t="n">
        <v>3</v>
      </c>
      <c r="N1132" s="3" t="n">
        <v>0</v>
      </c>
      <c r="O1132" s="3"/>
      <c r="P1132" s="3" t="n">
        <v>75.7</v>
      </c>
    </row>
    <row r="1133" customFormat="false" ht="15" hidden="false" customHeight="false" outlineLevel="0" collapsed="false">
      <c r="A1133" s="3" t="s">
        <v>1165</v>
      </c>
      <c r="B1133" s="4" t="n">
        <v>45663</v>
      </c>
      <c r="C1133" s="3" t="s">
        <v>724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/>
      <c r="P1133" s="3" t="n">
        <v>62.9</v>
      </c>
    </row>
    <row r="1134" customFormat="false" ht="15" hidden="false" customHeight="false" outlineLevel="0" collapsed="false">
      <c r="A1134" s="3" t="s">
        <v>1166</v>
      </c>
      <c r="B1134" s="4" t="n">
        <v>45759</v>
      </c>
      <c r="C1134" s="3" t="s">
        <v>724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3" t="n">
        <v>1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3</v>
      </c>
      <c r="N1134" s="3" t="n">
        <v>0</v>
      </c>
      <c r="O1134" s="3"/>
      <c r="P1134" s="3" t="n">
        <v>64.6</v>
      </c>
    </row>
    <row r="1135" customFormat="false" ht="15" hidden="false" customHeight="false" outlineLevel="0" collapsed="false">
      <c r="A1135" s="3" t="s">
        <v>1167</v>
      </c>
      <c r="B1135" s="4" t="n">
        <v>45765</v>
      </c>
      <c r="C1135" s="3" t="s">
        <v>724</v>
      </c>
      <c r="D1135" s="3" t="s">
        <v>18</v>
      </c>
      <c r="E1135" s="3" t="s">
        <v>24</v>
      </c>
      <c r="F1135" s="3" t="s">
        <v>156</v>
      </c>
      <c r="G1135" s="3" t="s">
        <v>21</v>
      </c>
      <c r="H1135" s="3" t="n">
        <v>1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/>
      <c r="P1135" s="3" t="n">
        <v>76.6</v>
      </c>
    </row>
    <row r="1136" customFormat="false" ht="15" hidden="false" customHeight="false" outlineLevel="0" collapsed="false">
      <c r="A1136" s="3" t="s">
        <v>1168</v>
      </c>
      <c r="B1136" s="4" t="n">
        <v>45740</v>
      </c>
      <c r="C1136" s="3" t="s">
        <v>724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3" t="n">
        <v>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/>
      <c r="P1136" s="3" t="n">
        <v>74.8</v>
      </c>
    </row>
    <row r="1137" customFormat="false" ht="15" hidden="false" customHeight="false" outlineLevel="0" collapsed="false">
      <c r="A1137" s="3" t="s">
        <v>1169</v>
      </c>
      <c r="B1137" s="4" t="n">
        <v>45734</v>
      </c>
      <c r="C1137" s="3" t="s">
        <v>724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3" t="n">
        <v>1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2</v>
      </c>
      <c r="N1137" s="3" t="n">
        <v>0</v>
      </c>
      <c r="O1137" s="3"/>
      <c r="P1137" s="3" t="n">
        <v>38.1</v>
      </c>
    </row>
    <row r="1138" customFormat="false" ht="15" hidden="false" customHeight="false" outlineLevel="0" collapsed="false">
      <c r="A1138" s="3" t="s">
        <v>1170</v>
      </c>
      <c r="B1138" s="4" t="n">
        <v>45777</v>
      </c>
      <c r="C1138" s="3" t="s">
        <v>724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3" t="n">
        <v>1</v>
      </c>
      <c r="I1138" s="3" t="n">
        <v>1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/>
      <c r="P1138" s="3" t="n">
        <v>60.2</v>
      </c>
    </row>
    <row r="1139" customFormat="false" ht="15" hidden="false" customHeight="false" outlineLevel="0" collapsed="false">
      <c r="A1139" s="3" t="s">
        <v>1171</v>
      </c>
      <c r="B1139" s="4" t="n">
        <v>45682</v>
      </c>
      <c r="C1139" s="3" t="s">
        <v>724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3" t="n">
        <v>1</v>
      </c>
      <c r="I1139" s="3" t="n">
        <v>1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/>
      <c r="P1139" s="3" t="n">
        <v>73.5</v>
      </c>
    </row>
    <row r="1140" customFormat="false" ht="15" hidden="false" customHeight="false" outlineLevel="0" collapsed="false">
      <c r="A1140" s="3" t="s">
        <v>1172</v>
      </c>
      <c r="B1140" s="4" t="n">
        <v>45757</v>
      </c>
      <c r="C1140" s="3" t="s">
        <v>724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3" t="n">
        <v>1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/>
      <c r="P1140" s="3" t="n">
        <v>70.9</v>
      </c>
    </row>
    <row r="1141" customFormat="false" ht="15" hidden="false" customHeight="false" outlineLevel="0" collapsed="false">
      <c r="A1141" s="3" t="s">
        <v>1173</v>
      </c>
      <c r="B1141" s="4" t="n">
        <v>45667</v>
      </c>
      <c r="C1141" s="3" t="s">
        <v>724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3" t="n">
        <v>1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/>
      <c r="P1141" s="3" t="n">
        <v>63.7</v>
      </c>
    </row>
    <row r="1142" customFormat="false" ht="15" hidden="false" customHeight="false" outlineLevel="0" collapsed="false">
      <c r="A1142" s="3" t="s">
        <v>1174</v>
      </c>
      <c r="B1142" s="4" t="n">
        <v>45699</v>
      </c>
      <c r="C1142" s="3" t="s">
        <v>724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3" t="n">
        <v>1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/>
      <c r="P1142" s="3" t="n">
        <v>86.5</v>
      </c>
    </row>
    <row r="1143" customFormat="false" ht="15" hidden="false" customHeight="false" outlineLevel="0" collapsed="false">
      <c r="A1143" s="3" t="s">
        <v>1175</v>
      </c>
      <c r="B1143" s="4" t="n">
        <v>45778</v>
      </c>
      <c r="C1143" s="3" t="s">
        <v>724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3" t="n">
        <v>1</v>
      </c>
      <c r="I1143" s="3" t="n">
        <v>1</v>
      </c>
      <c r="J1143" s="3" t="n">
        <v>1</v>
      </c>
      <c r="K1143" s="3" t="n">
        <v>1</v>
      </c>
      <c r="L1143" s="3" t="n">
        <v>921.72</v>
      </c>
      <c r="M1143" s="3" t="n">
        <v>3</v>
      </c>
      <c r="N1143" s="3" t="n">
        <v>0</v>
      </c>
      <c r="O1143" s="3" t="n">
        <v>7</v>
      </c>
      <c r="P1143" s="3" t="n">
        <v>74.6</v>
      </c>
    </row>
    <row r="1144" customFormat="false" ht="15" hidden="false" customHeight="false" outlineLevel="0" collapsed="false">
      <c r="A1144" s="3" t="s">
        <v>1176</v>
      </c>
      <c r="B1144" s="4" t="n">
        <v>45675</v>
      </c>
      <c r="C1144" s="3" t="s">
        <v>724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3" t="n">
        <v>1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/>
      <c r="P1144" s="3" t="n">
        <v>46.6</v>
      </c>
    </row>
    <row r="1145" customFormat="false" ht="15" hidden="false" customHeight="false" outlineLevel="0" collapsed="false">
      <c r="A1145" s="3" t="s">
        <v>1177</v>
      </c>
      <c r="B1145" s="4" t="n">
        <v>45659</v>
      </c>
      <c r="C1145" s="3" t="s">
        <v>724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3" t="n">
        <v>0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0</v>
      </c>
      <c r="O1145" s="3"/>
      <c r="P1145" s="3" t="n">
        <v>61.2</v>
      </c>
    </row>
    <row r="1146" customFormat="false" ht="15" hidden="false" customHeight="false" outlineLevel="0" collapsed="false">
      <c r="A1146" s="3" t="s">
        <v>1178</v>
      </c>
      <c r="B1146" s="4" t="n">
        <v>45788</v>
      </c>
      <c r="C1146" s="3" t="s">
        <v>724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3" t="n">
        <v>1</v>
      </c>
      <c r="I1146" s="3" t="n">
        <v>1</v>
      </c>
      <c r="J1146" s="3" t="n">
        <v>1</v>
      </c>
      <c r="K1146" s="3" t="n">
        <v>1</v>
      </c>
      <c r="L1146" s="3" t="n">
        <v>290.39</v>
      </c>
      <c r="M1146" s="3" t="n">
        <v>0</v>
      </c>
      <c r="N1146" s="3" t="n">
        <v>0</v>
      </c>
      <c r="O1146" s="3" t="n">
        <v>4</v>
      </c>
      <c r="P1146" s="3" t="n">
        <v>54.4</v>
      </c>
    </row>
    <row r="1147" customFormat="false" ht="15" hidden="false" customHeight="false" outlineLevel="0" collapsed="false">
      <c r="A1147" s="3" t="s">
        <v>1179</v>
      </c>
      <c r="B1147" s="4" t="n">
        <v>45738</v>
      </c>
      <c r="C1147" s="3" t="s">
        <v>724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3" t="n">
        <v>1</v>
      </c>
      <c r="I1147" s="3" t="n">
        <v>1</v>
      </c>
      <c r="J1147" s="3" t="n">
        <v>1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/>
      <c r="P1147" s="3" t="n">
        <v>72</v>
      </c>
    </row>
    <row r="1148" customFormat="false" ht="15" hidden="false" customHeight="false" outlineLevel="0" collapsed="false">
      <c r="A1148" s="3" t="s">
        <v>1180</v>
      </c>
      <c r="B1148" s="4" t="n">
        <v>45779</v>
      </c>
      <c r="C1148" s="3" t="s">
        <v>724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3" t="n">
        <v>1</v>
      </c>
      <c r="I1148" s="3" t="n">
        <v>1</v>
      </c>
      <c r="J1148" s="3" t="n">
        <v>1</v>
      </c>
      <c r="K1148" s="3" t="n">
        <v>1</v>
      </c>
      <c r="L1148" s="3" t="n">
        <v>1858.85</v>
      </c>
      <c r="M1148" s="3" t="n">
        <v>0</v>
      </c>
      <c r="N1148" s="3" t="n">
        <v>0</v>
      </c>
      <c r="O1148" s="3" t="n">
        <v>8</v>
      </c>
      <c r="P1148" s="3" t="n">
        <v>88.6</v>
      </c>
    </row>
    <row r="1149" customFormat="false" ht="15" hidden="false" customHeight="false" outlineLevel="0" collapsed="false">
      <c r="A1149" s="3" t="s">
        <v>1181</v>
      </c>
      <c r="B1149" s="4" t="n">
        <v>45803</v>
      </c>
      <c r="C1149" s="3" t="s">
        <v>724</v>
      </c>
      <c r="D1149" s="3" t="s">
        <v>28</v>
      </c>
      <c r="E1149" s="3" t="s">
        <v>19</v>
      </c>
      <c r="F1149" s="3" t="s">
        <v>156</v>
      </c>
      <c r="G1149" s="3" t="s">
        <v>21</v>
      </c>
      <c r="H1149" s="3" t="n">
        <v>1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0</v>
      </c>
      <c r="O1149" s="3"/>
      <c r="P1149" s="3" t="n">
        <v>77.6</v>
      </c>
    </row>
    <row r="1150" customFormat="false" ht="15" hidden="false" customHeight="false" outlineLevel="0" collapsed="false">
      <c r="A1150" s="3" t="s">
        <v>1182</v>
      </c>
      <c r="B1150" s="4" t="n">
        <v>45729</v>
      </c>
      <c r="C1150" s="3" t="s">
        <v>724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3" t="n">
        <v>1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1</v>
      </c>
      <c r="N1150" s="3" t="n">
        <v>0</v>
      </c>
      <c r="O1150" s="3"/>
      <c r="P1150" s="3" t="n">
        <v>44.3</v>
      </c>
    </row>
    <row r="1151" customFormat="false" ht="15" hidden="false" customHeight="false" outlineLevel="0" collapsed="false">
      <c r="A1151" s="3" t="s">
        <v>1183</v>
      </c>
      <c r="B1151" s="4" t="n">
        <v>45794</v>
      </c>
      <c r="C1151" s="3" t="s">
        <v>724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3" t="n">
        <v>1</v>
      </c>
      <c r="I1151" s="3" t="n">
        <v>1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0</v>
      </c>
      <c r="O1151" s="3"/>
      <c r="P1151" s="3" t="n">
        <v>49</v>
      </c>
    </row>
    <row r="1152" customFormat="false" ht="15" hidden="false" customHeight="false" outlineLevel="0" collapsed="false">
      <c r="A1152" s="3" t="s">
        <v>1184</v>
      </c>
      <c r="B1152" s="4" t="n">
        <v>45729</v>
      </c>
      <c r="C1152" s="3" t="s">
        <v>724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3" t="n">
        <v>1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/>
      <c r="P1152" s="3" t="n">
        <v>53.9</v>
      </c>
    </row>
    <row r="1153" customFormat="false" ht="15" hidden="false" customHeight="false" outlineLevel="0" collapsed="false">
      <c r="A1153" s="3" t="s">
        <v>1185</v>
      </c>
      <c r="B1153" s="4" t="n">
        <v>45699</v>
      </c>
      <c r="C1153" s="3" t="s">
        <v>724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3" t="n">
        <v>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1</v>
      </c>
      <c r="N1153" s="3" t="n">
        <v>0</v>
      </c>
      <c r="O1153" s="3"/>
      <c r="P1153" s="3" t="n">
        <v>69</v>
      </c>
    </row>
    <row r="1154" customFormat="false" ht="15" hidden="false" customHeight="false" outlineLevel="0" collapsed="false">
      <c r="A1154" s="3" t="s">
        <v>1186</v>
      </c>
      <c r="B1154" s="4" t="n">
        <v>45717</v>
      </c>
      <c r="C1154" s="3" t="s">
        <v>724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3" t="n">
        <v>0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/>
      <c r="P1154" s="3" t="n">
        <v>37.4</v>
      </c>
    </row>
    <row r="1155" customFormat="false" ht="15" hidden="false" customHeight="false" outlineLevel="0" collapsed="false">
      <c r="A1155" s="3" t="s">
        <v>1187</v>
      </c>
      <c r="B1155" s="4" t="n">
        <v>45762</v>
      </c>
      <c r="C1155" s="3" t="s">
        <v>724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3" t="n">
        <v>0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0</v>
      </c>
      <c r="O1155" s="3"/>
      <c r="P1155" s="3" t="n">
        <v>59</v>
      </c>
    </row>
    <row r="1156" customFormat="false" ht="15" hidden="false" customHeight="false" outlineLevel="0" collapsed="false">
      <c r="A1156" s="3" t="s">
        <v>1188</v>
      </c>
      <c r="B1156" s="4" t="n">
        <v>45690</v>
      </c>
      <c r="C1156" s="3" t="s">
        <v>724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3" t="n">
        <v>1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/>
      <c r="P1156" s="3" t="n">
        <v>60.8</v>
      </c>
    </row>
    <row r="1157" customFormat="false" ht="15" hidden="false" customHeight="false" outlineLevel="0" collapsed="false">
      <c r="A1157" s="3" t="s">
        <v>1189</v>
      </c>
      <c r="B1157" s="4" t="n">
        <v>45796</v>
      </c>
      <c r="C1157" s="3" t="s">
        <v>724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3" t="n">
        <v>1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0</v>
      </c>
      <c r="O1157" s="3"/>
      <c r="P1157" s="3" t="n">
        <v>57.5</v>
      </c>
    </row>
    <row r="1158" customFormat="false" ht="15" hidden="false" customHeight="false" outlineLevel="0" collapsed="false">
      <c r="A1158" s="3" t="s">
        <v>1190</v>
      </c>
      <c r="B1158" s="4" t="n">
        <v>45662</v>
      </c>
      <c r="C1158" s="3" t="s">
        <v>724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/>
      <c r="P1158" s="3" t="n">
        <v>84.2</v>
      </c>
    </row>
    <row r="1159" customFormat="false" ht="15" hidden="false" customHeight="false" outlineLevel="0" collapsed="false">
      <c r="A1159" s="3" t="s">
        <v>1191</v>
      </c>
      <c r="B1159" s="4" t="n">
        <v>45724</v>
      </c>
      <c r="C1159" s="3" t="s">
        <v>724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3" t="n">
        <v>1</v>
      </c>
      <c r="I1159" s="3" t="n">
        <v>1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/>
      <c r="P1159" s="3" t="n">
        <v>27.4</v>
      </c>
    </row>
    <row r="1160" customFormat="false" ht="15" hidden="false" customHeight="false" outlineLevel="0" collapsed="false">
      <c r="A1160" s="3" t="s">
        <v>1192</v>
      </c>
      <c r="B1160" s="4" t="n">
        <v>45728</v>
      </c>
      <c r="C1160" s="3" t="s">
        <v>724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3" t="n">
        <v>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1</v>
      </c>
      <c r="N1160" s="3" t="n">
        <v>0</v>
      </c>
      <c r="O1160" s="3"/>
      <c r="P1160" s="3" t="n">
        <v>67.6</v>
      </c>
    </row>
    <row r="1161" customFormat="false" ht="15" hidden="false" customHeight="false" outlineLevel="0" collapsed="false">
      <c r="A1161" s="3" t="s">
        <v>1193</v>
      </c>
      <c r="B1161" s="4" t="n">
        <v>45681</v>
      </c>
      <c r="C1161" s="3" t="s">
        <v>724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3" t="n">
        <v>0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0</v>
      </c>
      <c r="O1161" s="3"/>
      <c r="P1161" s="3" t="n">
        <v>68.4</v>
      </c>
    </row>
    <row r="1162" customFormat="false" ht="15" hidden="false" customHeight="false" outlineLevel="0" collapsed="false">
      <c r="A1162" s="3" t="s">
        <v>1194</v>
      </c>
      <c r="B1162" s="4" t="n">
        <v>45799</v>
      </c>
      <c r="C1162" s="3" t="s">
        <v>724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3" t="n">
        <v>1</v>
      </c>
      <c r="I1162" s="3" t="n">
        <v>1</v>
      </c>
      <c r="J1162" s="3" t="n">
        <v>1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/>
      <c r="P1162" s="3" t="n">
        <v>66.5</v>
      </c>
    </row>
    <row r="1163" customFormat="false" ht="15" hidden="false" customHeight="false" outlineLevel="0" collapsed="false">
      <c r="A1163" s="3" t="s">
        <v>1195</v>
      </c>
      <c r="B1163" s="4" t="n">
        <v>45743</v>
      </c>
      <c r="C1163" s="3" t="s">
        <v>724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3" t="n">
        <v>1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0</v>
      </c>
      <c r="O1163" s="3"/>
      <c r="P1163" s="3" t="n">
        <v>38.2</v>
      </c>
    </row>
    <row r="1164" customFormat="false" ht="15" hidden="false" customHeight="false" outlineLevel="0" collapsed="false">
      <c r="A1164" s="3" t="s">
        <v>1196</v>
      </c>
      <c r="B1164" s="4" t="n">
        <v>45659</v>
      </c>
      <c r="C1164" s="3" t="s">
        <v>724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3" t="n">
        <v>0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1</v>
      </c>
      <c r="N1164" s="3" t="n">
        <v>0</v>
      </c>
      <c r="O1164" s="3"/>
      <c r="P1164" s="3" t="n">
        <v>66.7</v>
      </c>
    </row>
    <row r="1165" customFormat="false" ht="15" hidden="false" customHeight="false" outlineLevel="0" collapsed="false">
      <c r="A1165" s="3" t="s">
        <v>1197</v>
      </c>
      <c r="B1165" s="4" t="n">
        <v>45712</v>
      </c>
      <c r="C1165" s="3" t="s">
        <v>724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1</v>
      </c>
      <c r="N1165" s="3" t="n">
        <v>0</v>
      </c>
      <c r="O1165" s="3"/>
      <c r="P1165" s="3" t="n">
        <v>73.7</v>
      </c>
    </row>
    <row r="1166" customFormat="false" ht="15" hidden="false" customHeight="false" outlineLevel="0" collapsed="false">
      <c r="A1166" s="3" t="s">
        <v>1198</v>
      </c>
      <c r="B1166" s="4" t="n">
        <v>45717</v>
      </c>
      <c r="C1166" s="3" t="s">
        <v>724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3" t="n">
        <v>1</v>
      </c>
      <c r="I1166" s="3" t="n">
        <v>1</v>
      </c>
      <c r="J1166" s="3" t="n">
        <v>1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/>
      <c r="P1166" s="3" t="n">
        <v>63.9</v>
      </c>
    </row>
    <row r="1167" customFormat="false" ht="15" hidden="false" customHeight="false" outlineLevel="0" collapsed="false">
      <c r="A1167" s="3" t="s">
        <v>1199</v>
      </c>
      <c r="B1167" s="4" t="n">
        <v>45742</v>
      </c>
      <c r="C1167" s="3" t="s">
        <v>724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3" t="n">
        <v>1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1</v>
      </c>
      <c r="N1167" s="3" t="n">
        <v>0</v>
      </c>
      <c r="O1167" s="3"/>
      <c r="P1167" s="3" t="n">
        <v>82.6</v>
      </c>
    </row>
    <row r="1168" customFormat="false" ht="15" hidden="false" customHeight="false" outlineLevel="0" collapsed="false">
      <c r="A1168" s="3" t="s">
        <v>1200</v>
      </c>
      <c r="B1168" s="4" t="n">
        <v>45802</v>
      </c>
      <c r="C1168" s="3" t="s">
        <v>724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1</v>
      </c>
      <c r="N1168" s="3" t="n">
        <v>0</v>
      </c>
      <c r="O1168" s="3"/>
      <c r="P1168" s="3" t="n">
        <v>58.3</v>
      </c>
    </row>
    <row r="1169" customFormat="false" ht="15" hidden="false" customHeight="false" outlineLevel="0" collapsed="false">
      <c r="A1169" s="3" t="s">
        <v>1201</v>
      </c>
      <c r="B1169" s="4" t="n">
        <v>45713</v>
      </c>
      <c r="C1169" s="3" t="s">
        <v>724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3" t="n">
        <v>1</v>
      </c>
      <c r="I1169" s="3" t="n">
        <v>1</v>
      </c>
      <c r="J1169" s="3" t="n">
        <v>1</v>
      </c>
      <c r="K1169" s="3" t="n">
        <v>1</v>
      </c>
      <c r="L1169" s="3" t="n">
        <v>1547.06</v>
      </c>
      <c r="M1169" s="3" t="n">
        <v>0</v>
      </c>
      <c r="N1169" s="3" t="n">
        <v>1</v>
      </c>
      <c r="O1169" s="3" t="n">
        <v>2</v>
      </c>
      <c r="P1169" s="3" t="n">
        <v>72.9</v>
      </c>
    </row>
    <row r="1170" customFormat="false" ht="15" hidden="false" customHeight="false" outlineLevel="0" collapsed="false">
      <c r="A1170" s="3" t="s">
        <v>1202</v>
      </c>
      <c r="B1170" s="4" t="n">
        <v>45739</v>
      </c>
      <c r="C1170" s="3" t="s">
        <v>724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3" t="n">
        <v>1</v>
      </c>
      <c r="I1170" s="3" t="n">
        <v>1</v>
      </c>
      <c r="J1170" s="3" t="n">
        <v>1</v>
      </c>
      <c r="K1170" s="3" t="n">
        <v>0</v>
      </c>
      <c r="L1170" s="3" t="n">
        <v>0</v>
      </c>
      <c r="M1170" s="3" t="n">
        <v>2</v>
      </c>
      <c r="N1170" s="3" t="n">
        <v>0</v>
      </c>
      <c r="O1170" s="3"/>
      <c r="P1170" s="3" t="n">
        <v>53.5</v>
      </c>
    </row>
    <row r="1171" customFormat="false" ht="15" hidden="false" customHeight="false" outlineLevel="0" collapsed="false">
      <c r="A1171" s="3" t="s">
        <v>1203</v>
      </c>
      <c r="B1171" s="4" t="n">
        <v>45768</v>
      </c>
      <c r="C1171" s="3" t="s">
        <v>724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3" t="n">
        <v>1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/>
      <c r="P1171" s="3" t="n">
        <v>54.8</v>
      </c>
    </row>
    <row r="1172" customFormat="false" ht="15" hidden="false" customHeight="false" outlineLevel="0" collapsed="false">
      <c r="A1172" s="3" t="s">
        <v>1204</v>
      </c>
      <c r="B1172" s="4" t="n">
        <v>45798</v>
      </c>
      <c r="C1172" s="3" t="s">
        <v>724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3" t="n">
        <v>1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/>
      <c r="P1172" s="3" t="n">
        <v>69.5</v>
      </c>
    </row>
    <row r="1173" customFormat="false" ht="15" hidden="false" customHeight="false" outlineLevel="0" collapsed="false">
      <c r="A1173" s="3" t="s">
        <v>1205</v>
      </c>
      <c r="B1173" s="4" t="n">
        <v>45772</v>
      </c>
      <c r="C1173" s="3" t="s">
        <v>724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3" t="n">
        <v>1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1</v>
      </c>
      <c r="N1173" s="3" t="n">
        <v>0</v>
      </c>
      <c r="O1173" s="3"/>
      <c r="P1173" s="3" t="n">
        <v>71.3</v>
      </c>
    </row>
    <row r="1174" customFormat="false" ht="15" hidden="false" customHeight="false" outlineLevel="0" collapsed="false">
      <c r="A1174" s="3" t="s">
        <v>1206</v>
      </c>
      <c r="B1174" s="4" t="n">
        <v>45800</v>
      </c>
      <c r="C1174" s="3" t="s">
        <v>724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3" t="n">
        <v>1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1</v>
      </c>
      <c r="N1174" s="3" t="n">
        <v>0</v>
      </c>
      <c r="O1174" s="3"/>
      <c r="P1174" s="3" t="n">
        <v>57.5</v>
      </c>
    </row>
    <row r="1175" customFormat="false" ht="15" hidden="false" customHeight="false" outlineLevel="0" collapsed="false">
      <c r="A1175" s="3" t="s">
        <v>1207</v>
      </c>
      <c r="B1175" s="4" t="n">
        <v>45734</v>
      </c>
      <c r="C1175" s="3" t="s">
        <v>724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3" t="n">
        <v>1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4</v>
      </c>
      <c r="N1175" s="3" t="n">
        <v>0</v>
      </c>
      <c r="O1175" s="3"/>
      <c r="P1175" s="3" t="n">
        <v>50.9</v>
      </c>
    </row>
    <row r="1176" customFormat="false" ht="15" hidden="false" customHeight="false" outlineLevel="0" collapsed="false">
      <c r="A1176" s="3" t="s">
        <v>1208</v>
      </c>
      <c r="B1176" s="4" t="n">
        <v>45660</v>
      </c>
      <c r="C1176" s="3" t="s">
        <v>724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3" t="n">
        <v>1</v>
      </c>
      <c r="I1176" s="3" t="n">
        <v>1</v>
      </c>
      <c r="J1176" s="3" t="n">
        <v>1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/>
      <c r="P1176" s="3" t="n">
        <v>69.3</v>
      </c>
    </row>
    <row r="1177" customFormat="false" ht="15" hidden="false" customHeight="false" outlineLevel="0" collapsed="false">
      <c r="A1177" s="3" t="s">
        <v>1209</v>
      </c>
      <c r="B1177" s="4" t="n">
        <v>45696</v>
      </c>
      <c r="C1177" s="3" t="s">
        <v>724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3" t="n">
        <v>1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/>
      <c r="P1177" s="3" t="n">
        <v>50.1</v>
      </c>
    </row>
    <row r="1178" customFormat="false" ht="15" hidden="false" customHeight="false" outlineLevel="0" collapsed="false">
      <c r="A1178" s="3" t="s">
        <v>1210</v>
      </c>
      <c r="B1178" s="4" t="n">
        <v>45692</v>
      </c>
      <c r="C1178" s="3" t="s">
        <v>724</v>
      </c>
      <c r="D1178" s="3" t="s">
        <v>28</v>
      </c>
      <c r="E1178" s="3" t="s">
        <v>156</v>
      </c>
      <c r="F1178" s="3" t="s">
        <v>29</v>
      </c>
      <c r="G1178" s="3" t="s">
        <v>21</v>
      </c>
      <c r="H1178" s="3" t="n">
        <v>0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/>
      <c r="P1178" s="3" t="n">
        <v>69.7</v>
      </c>
    </row>
    <row r="1179" customFormat="false" ht="15" hidden="false" customHeight="false" outlineLevel="0" collapsed="false">
      <c r="A1179" s="3" t="s">
        <v>1211</v>
      </c>
      <c r="B1179" s="4" t="n">
        <v>45673</v>
      </c>
      <c r="C1179" s="3" t="s">
        <v>724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3" t="n">
        <v>0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0</v>
      </c>
      <c r="O1179" s="3"/>
      <c r="P1179" s="3" t="n">
        <v>63.5</v>
      </c>
    </row>
    <row r="1180" customFormat="false" ht="15" hidden="false" customHeight="false" outlineLevel="0" collapsed="false">
      <c r="A1180" s="3" t="s">
        <v>1212</v>
      </c>
      <c r="B1180" s="4" t="n">
        <v>45751</v>
      </c>
      <c r="C1180" s="3" t="s">
        <v>724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3" t="n">
        <v>1</v>
      </c>
      <c r="I1180" s="3" t="n">
        <v>1</v>
      </c>
      <c r="J1180" s="3" t="n">
        <v>1</v>
      </c>
      <c r="K1180" s="3" t="n">
        <v>1</v>
      </c>
      <c r="L1180" s="3" t="n">
        <v>265.59</v>
      </c>
      <c r="M1180" s="3" t="n">
        <v>1</v>
      </c>
      <c r="N1180" s="3" t="n">
        <v>0</v>
      </c>
      <c r="O1180" s="3" t="n">
        <v>8</v>
      </c>
      <c r="P1180" s="3" t="n">
        <v>80.4</v>
      </c>
    </row>
    <row r="1181" customFormat="false" ht="15" hidden="false" customHeight="false" outlineLevel="0" collapsed="false">
      <c r="A1181" s="3" t="s">
        <v>1213</v>
      </c>
      <c r="B1181" s="4" t="n">
        <v>45680</v>
      </c>
      <c r="C1181" s="3" t="s">
        <v>724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3" t="n">
        <v>0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/>
      <c r="P1181" s="3" t="n">
        <v>58.9</v>
      </c>
    </row>
    <row r="1182" customFormat="false" ht="15" hidden="false" customHeight="false" outlineLevel="0" collapsed="false">
      <c r="A1182" s="3" t="s">
        <v>1214</v>
      </c>
      <c r="B1182" s="4" t="n">
        <v>45738</v>
      </c>
      <c r="C1182" s="3" t="s">
        <v>724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3" t="n">
        <v>1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/>
      <c r="P1182" s="3" t="n">
        <v>56.8</v>
      </c>
    </row>
    <row r="1183" customFormat="false" ht="15" hidden="false" customHeight="false" outlineLevel="0" collapsed="false">
      <c r="A1183" s="3" t="s">
        <v>1215</v>
      </c>
      <c r="B1183" s="4" t="n">
        <v>45690</v>
      </c>
      <c r="C1183" s="3" t="s">
        <v>724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/>
      <c r="P1183" s="3" t="n">
        <v>73.9</v>
      </c>
    </row>
    <row r="1184" customFormat="false" ht="15" hidden="false" customHeight="false" outlineLevel="0" collapsed="false">
      <c r="A1184" s="3" t="s">
        <v>1216</v>
      </c>
      <c r="B1184" s="4" t="n">
        <v>45688</v>
      </c>
      <c r="C1184" s="3" t="s">
        <v>724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/>
      <c r="P1184" s="3" t="n">
        <v>76.3</v>
      </c>
    </row>
    <row r="1185" customFormat="false" ht="15" hidden="false" customHeight="false" outlineLevel="0" collapsed="false">
      <c r="A1185" s="3" t="s">
        <v>1217</v>
      </c>
      <c r="B1185" s="4" t="n">
        <v>45804</v>
      </c>
      <c r="C1185" s="3" t="s">
        <v>724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3" t="n">
        <v>1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0</v>
      </c>
      <c r="O1185" s="3"/>
      <c r="P1185" s="3" t="n">
        <v>56.9</v>
      </c>
    </row>
    <row r="1186" customFormat="false" ht="15" hidden="false" customHeight="false" outlineLevel="0" collapsed="false">
      <c r="A1186" s="3" t="s">
        <v>1218</v>
      </c>
      <c r="B1186" s="4" t="n">
        <v>45784</v>
      </c>
      <c r="C1186" s="3" t="s">
        <v>724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3" t="n">
        <v>1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2</v>
      </c>
      <c r="N1186" s="3" t="n">
        <v>0</v>
      </c>
      <c r="O1186" s="3"/>
      <c r="P1186" s="3" t="n">
        <v>49.4</v>
      </c>
    </row>
    <row r="1187" customFormat="false" ht="15" hidden="false" customHeight="false" outlineLevel="0" collapsed="false">
      <c r="A1187" s="3" t="s">
        <v>1219</v>
      </c>
      <c r="B1187" s="4" t="n">
        <v>45785</v>
      </c>
      <c r="C1187" s="3" t="s">
        <v>724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3" t="n">
        <v>1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0</v>
      </c>
      <c r="O1187" s="3"/>
      <c r="P1187" s="3" t="n">
        <v>86.7</v>
      </c>
    </row>
    <row r="1188" customFormat="false" ht="15" hidden="false" customHeight="false" outlineLevel="0" collapsed="false">
      <c r="A1188" s="3" t="s">
        <v>1220</v>
      </c>
      <c r="B1188" s="4" t="n">
        <v>45672</v>
      </c>
      <c r="C1188" s="3" t="s">
        <v>724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3" t="n">
        <v>1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3</v>
      </c>
      <c r="N1188" s="3" t="n">
        <v>0</v>
      </c>
      <c r="O1188" s="3"/>
      <c r="P1188" s="3" t="n">
        <v>69</v>
      </c>
    </row>
    <row r="1189" customFormat="false" ht="15" hidden="false" customHeight="false" outlineLevel="0" collapsed="false">
      <c r="A1189" s="3" t="s">
        <v>1221</v>
      </c>
      <c r="B1189" s="4" t="n">
        <v>45675</v>
      </c>
      <c r="C1189" s="3" t="s">
        <v>724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/>
      <c r="P1189" s="3" t="n">
        <v>84.5</v>
      </c>
    </row>
    <row r="1190" customFormat="false" ht="15" hidden="false" customHeight="false" outlineLevel="0" collapsed="false">
      <c r="A1190" s="3" t="s">
        <v>1222</v>
      </c>
      <c r="B1190" s="4" t="n">
        <v>45763</v>
      </c>
      <c r="C1190" s="3" t="s">
        <v>724</v>
      </c>
      <c r="D1190" s="3" t="s">
        <v>28</v>
      </c>
      <c r="E1190" s="3" t="s">
        <v>156</v>
      </c>
      <c r="F1190" s="3" t="s">
        <v>39</v>
      </c>
      <c r="G1190" s="3" t="s">
        <v>26</v>
      </c>
      <c r="H1190" s="3" t="n">
        <v>1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/>
      <c r="P1190" s="3" t="n">
        <v>66.3</v>
      </c>
    </row>
    <row r="1191" customFormat="false" ht="15" hidden="false" customHeight="false" outlineLevel="0" collapsed="false">
      <c r="A1191" s="3" t="s">
        <v>1223</v>
      </c>
      <c r="B1191" s="4" t="n">
        <v>45704</v>
      </c>
      <c r="C1191" s="3" t="s">
        <v>724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/>
      <c r="P1191" s="3" t="n">
        <v>52.2</v>
      </c>
    </row>
    <row r="1192" customFormat="false" ht="15" hidden="false" customHeight="false" outlineLevel="0" collapsed="false">
      <c r="A1192" s="3" t="s">
        <v>1224</v>
      </c>
      <c r="B1192" s="4" t="n">
        <v>45764</v>
      </c>
      <c r="C1192" s="3" t="s">
        <v>724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3" t="n">
        <v>1</v>
      </c>
      <c r="I1192" s="3" t="n">
        <v>1</v>
      </c>
      <c r="J1192" s="3" t="n">
        <v>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/>
      <c r="P1192" s="3" t="n">
        <v>81.2</v>
      </c>
    </row>
    <row r="1193" customFormat="false" ht="15" hidden="false" customHeight="false" outlineLevel="0" collapsed="false">
      <c r="A1193" s="3" t="s">
        <v>1225</v>
      </c>
      <c r="B1193" s="4" t="n">
        <v>45777</v>
      </c>
      <c r="C1193" s="3" t="s">
        <v>724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/>
      <c r="P1193" s="3" t="n">
        <v>53.9</v>
      </c>
    </row>
    <row r="1194" customFormat="false" ht="15" hidden="false" customHeight="false" outlineLevel="0" collapsed="false">
      <c r="A1194" s="3" t="s">
        <v>1226</v>
      </c>
      <c r="B1194" s="4" t="n">
        <v>45686</v>
      </c>
      <c r="C1194" s="3" t="s">
        <v>724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/>
      <c r="P1194" s="3" t="n">
        <v>39.1</v>
      </c>
    </row>
    <row r="1195" customFormat="false" ht="15" hidden="false" customHeight="false" outlineLevel="0" collapsed="false">
      <c r="A1195" s="3" t="s">
        <v>1227</v>
      </c>
      <c r="B1195" s="4" t="n">
        <v>45668</v>
      </c>
      <c r="C1195" s="3" t="s">
        <v>724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/>
      <c r="P1195" s="3" t="n">
        <v>57.3</v>
      </c>
    </row>
    <row r="1196" customFormat="false" ht="15" hidden="false" customHeight="false" outlineLevel="0" collapsed="false">
      <c r="A1196" s="3" t="s">
        <v>1228</v>
      </c>
      <c r="B1196" s="4" t="n">
        <v>45755</v>
      </c>
      <c r="C1196" s="3" t="s">
        <v>724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3" t="n">
        <v>1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1</v>
      </c>
      <c r="N1196" s="3" t="n">
        <v>0</v>
      </c>
      <c r="O1196" s="3"/>
      <c r="P1196" s="3" t="n">
        <v>65.9</v>
      </c>
    </row>
    <row r="1197" customFormat="false" ht="15" hidden="false" customHeight="false" outlineLevel="0" collapsed="false">
      <c r="A1197" s="3" t="s">
        <v>1229</v>
      </c>
      <c r="B1197" s="4" t="n">
        <v>45710</v>
      </c>
      <c r="C1197" s="3" t="s">
        <v>724</v>
      </c>
      <c r="D1197" s="3" t="s">
        <v>18</v>
      </c>
      <c r="E1197" s="3" t="s">
        <v>156</v>
      </c>
      <c r="F1197" s="3" t="s">
        <v>41</v>
      </c>
      <c r="G1197" s="3" t="s">
        <v>26</v>
      </c>
      <c r="H1197" s="3" t="n">
        <v>1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1</v>
      </c>
      <c r="N1197" s="3" t="n">
        <v>0</v>
      </c>
      <c r="O1197" s="3"/>
      <c r="P1197" s="3" t="n">
        <v>34.2</v>
      </c>
    </row>
    <row r="1198" customFormat="false" ht="15" hidden="false" customHeight="false" outlineLevel="0" collapsed="false">
      <c r="A1198" s="3" t="s">
        <v>1230</v>
      </c>
      <c r="B1198" s="4" t="n">
        <v>45739</v>
      </c>
      <c r="C1198" s="3" t="s">
        <v>724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/>
      <c r="P1198" s="3" t="n">
        <v>47.2</v>
      </c>
    </row>
    <row r="1199" customFormat="false" ht="15" hidden="false" customHeight="false" outlineLevel="0" collapsed="false">
      <c r="A1199" s="3" t="s">
        <v>1231</v>
      </c>
      <c r="B1199" s="4" t="n">
        <v>45800</v>
      </c>
      <c r="C1199" s="3" t="s">
        <v>724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3" t="n">
        <v>1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1</v>
      </c>
      <c r="N1199" s="3" t="n">
        <v>0</v>
      </c>
      <c r="O1199" s="3"/>
      <c r="P1199" s="3" t="n">
        <v>55</v>
      </c>
    </row>
    <row r="1200" customFormat="false" ht="15" hidden="false" customHeight="false" outlineLevel="0" collapsed="false">
      <c r="A1200" s="3" t="s">
        <v>1232</v>
      </c>
      <c r="B1200" s="4" t="n">
        <v>45774</v>
      </c>
      <c r="C1200" s="3" t="s">
        <v>724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3" t="n">
        <v>1</v>
      </c>
      <c r="I1200" s="3" t="n">
        <v>1</v>
      </c>
      <c r="J1200" s="3" t="n">
        <v>1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/>
      <c r="P1200" s="3" t="n">
        <v>76.4</v>
      </c>
    </row>
    <row r="1201" customFormat="false" ht="15" hidden="false" customHeight="false" outlineLevel="0" collapsed="false">
      <c r="A1201" s="3" t="s">
        <v>1233</v>
      </c>
      <c r="B1201" s="4" t="n">
        <v>45803</v>
      </c>
      <c r="C1201" s="3" t="s">
        <v>724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3" t="n">
        <v>1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/>
      <c r="P1201" s="3" t="n">
        <v>70.8</v>
      </c>
    </row>
    <row r="1202" customFormat="false" ht="15" hidden="false" customHeight="false" outlineLevel="0" collapsed="false">
      <c r="A1202" s="3" t="s">
        <v>1234</v>
      </c>
      <c r="B1202" s="4" t="n">
        <v>45722</v>
      </c>
      <c r="C1202" s="3" t="s">
        <v>724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3" t="n">
        <v>1</v>
      </c>
      <c r="I1202" s="3" t="n">
        <v>1</v>
      </c>
      <c r="J1202" s="3" t="n">
        <v>0</v>
      </c>
      <c r="K1202" s="3" t="n">
        <v>0</v>
      </c>
      <c r="L1202" s="3" t="n">
        <v>0</v>
      </c>
      <c r="M1202" s="3" t="n">
        <v>1</v>
      </c>
      <c r="N1202" s="3" t="n">
        <v>0</v>
      </c>
      <c r="O1202" s="3"/>
      <c r="P1202" s="3" t="n">
        <v>58</v>
      </c>
    </row>
    <row r="1203" customFormat="false" ht="15" hidden="false" customHeight="false" outlineLevel="0" collapsed="false">
      <c r="A1203" s="3" t="s">
        <v>1235</v>
      </c>
      <c r="B1203" s="4" t="n">
        <v>45750</v>
      </c>
      <c r="C1203" s="3" t="s">
        <v>724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3" t="n">
        <v>1</v>
      </c>
      <c r="I1203" s="3" t="n">
        <v>1</v>
      </c>
      <c r="J1203" s="3" t="n">
        <v>1</v>
      </c>
      <c r="K1203" s="3" t="n">
        <v>0</v>
      </c>
      <c r="L1203" s="3" t="n">
        <v>0</v>
      </c>
      <c r="M1203" s="3" t="n">
        <v>1</v>
      </c>
      <c r="N1203" s="3" t="n">
        <v>0</v>
      </c>
      <c r="O1203" s="3"/>
      <c r="P1203" s="3" t="n">
        <v>70.8</v>
      </c>
    </row>
    <row r="1204" customFormat="false" ht="15" hidden="false" customHeight="false" outlineLevel="0" collapsed="false">
      <c r="A1204" s="3" t="s">
        <v>1236</v>
      </c>
      <c r="B1204" s="4" t="n">
        <v>45689</v>
      </c>
      <c r="C1204" s="3" t="s">
        <v>724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3" t="n">
        <v>1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3</v>
      </c>
      <c r="N1204" s="3" t="n">
        <v>0</v>
      </c>
      <c r="O1204" s="3"/>
      <c r="P1204" s="3" t="n">
        <v>60</v>
      </c>
    </row>
    <row r="1205" customFormat="false" ht="15" hidden="false" customHeight="false" outlineLevel="0" collapsed="false">
      <c r="A1205" s="3" t="s">
        <v>1237</v>
      </c>
      <c r="B1205" s="4" t="n">
        <v>45778</v>
      </c>
      <c r="C1205" s="3" t="s">
        <v>724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3" t="n">
        <v>1</v>
      </c>
      <c r="I1205" s="3" t="n">
        <v>1</v>
      </c>
      <c r="J1205" s="3" t="n">
        <v>1</v>
      </c>
      <c r="K1205" s="3" t="n">
        <v>0</v>
      </c>
      <c r="L1205" s="3" t="n">
        <v>0</v>
      </c>
      <c r="M1205" s="3" t="n">
        <v>3</v>
      </c>
      <c r="N1205" s="3" t="n">
        <v>0</v>
      </c>
      <c r="O1205" s="3"/>
      <c r="P1205" s="3" t="n">
        <v>58.1</v>
      </c>
    </row>
    <row r="1206" customFormat="false" ht="15" hidden="false" customHeight="false" outlineLevel="0" collapsed="false">
      <c r="A1206" s="3" t="s">
        <v>1238</v>
      </c>
      <c r="B1206" s="4" t="n">
        <v>45760</v>
      </c>
      <c r="C1206" s="3" t="s">
        <v>724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/>
      <c r="P1206" s="3" t="n">
        <v>59.7</v>
      </c>
    </row>
    <row r="1207" customFormat="false" ht="15" hidden="false" customHeight="false" outlineLevel="0" collapsed="false">
      <c r="A1207" s="3" t="s">
        <v>1239</v>
      </c>
      <c r="B1207" s="4" t="n">
        <v>45682</v>
      </c>
      <c r="C1207" s="3" t="s">
        <v>724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/>
      <c r="P1207" s="3" t="n">
        <v>47.7</v>
      </c>
    </row>
    <row r="1208" customFormat="false" ht="15" hidden="false" customHeight="false" outlineLevel="0" collapsed="false">
      <c r="A1208" s="3" t="s">
        <v>1240</v>
      </c>
      <c r="B1208" s="4" t="n">
        <v>45733</v>
      </c>
      <c r="C1208" s="3" t="s">
        <v>724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/>
      <c r="P1208" s="3" t="n">
        <v>59.1</v>
      </c>
    </row>
    <row r="1209" customFormat="false" ht="15" hidden="false" customHeight="false" outlineLevel="0" collapsed="false">
      <c r="A1209" s="3" t="s">
        <v>1241</v>
      </c>
      <c r="B1209" s="4" t="n">
        <v>45709</v>
      </c>
      <c r="C1209" s="3" t="s">
        <v>724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3" t="n">
        <v>1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1</v>
      </c>
      <c r="N1209" s="3" t="n">
        <v>0</v>
      </c>
      <c r="O1209" s="3"/>
      <c r="P1209" s="3" t="n">
        <v>68.7</v>
      </c>
    </row>
    <row r="1210" customFormat="false" ht="15" hidden="false" customHeight="false" outlineLevel="0" collapsed="false">
      <c r="A1210" s="3" t="s">
        <v>1242</v>
      </c>
      <c r="B1210" s="4" t="n">
        <v>45755</v>
      </c>
      <c r="C1210" s="3" t="s">
        <v>724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/>
      <c r="P1210" s="3" t="n">
        <v>34.7</v>
      </c>
    </row>
    <row r="1211" customFormat="false" ht="15" hidden="false" customHeight="false" outlineLevel="0" collapsed="false">
      <c r="A1211" s="3" t="s">
        <v>1243</v>
      </c>
      <c r="B1211" s="4" t="n">
        <v>45712</v>
      </c>
      <c r="C1211" s="3" t="s">
        <v>724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3" t="n">
        <v>1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0</v>
      </c>
      <c r="O1211" s="3"/>
      <c r="P1211" s="3" t="n">
        <v>62</v>
      </c>
    </row>
    <row r="1212" customFormat="false" ht="15" hidden="false" customHeight="false" outlineLevel="0" collapsed="false">
      <c r="A1212" s="3" t="s">
        <v>1244</v>
      </c>
      <c r="B1212" s="4" t="n">
        <v>45806</v>
      </c>
      <c r="C1212" s="3" t="s">
        <v>724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3" t="n">
        <v>1</v>
      </c>
      <c r="I1212" s="3" t="n">
        <v>1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/>
      <c r="P1212" s="3" t="n">
        <v>56</v>
      </c>
    </row>
    <row r="1213" customFormat="false" ht="15" hidden="false" customHeight="false" outlineLevel="0" collapsed="false">
      <c r="A1213" s="3" t="s">
        <v>1245</v>
      </c>
      <c r="B1213" s="4" t="n">
        <v>45807</v>
      </c>
      <c r="C1213" s="3" t="s">
        <v>724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3" t="n">
        <v>1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1</v>
      </c>
      <c r="N1213" s="3" t="n">
        <v>0</v>
      </c>
      <c r="O1213" s="3"/>
      <c r="P1213" s="3" t="n">
        <v>65.8</v>
      </c>
    </row>
    <row r="1214" customFormat="false" ht="15" hidden="false" customHeight="false" outlineLevel="0" collapsed="false">
      <c r="A1214" s="3" t="s">
        <v>1246</v>
      </c>
      <c r="B1214" s="4" t="n">
        <v>45681</v>
      </c>
      <c r="C1214" s="3" t="s">
        <v>724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/>
      <c r="P1214" s="3" t="n">
        <v>54.7</v>
      </c>
    </row>
    <row r="1215" customFormat="false" ht="15" hidden="false" customHeight="false" outlineLevel="0" collapsed="false">
      <c r="A1215" s="3" t="s">
        <v>1247</v>
      </c>
      <c r="B1215" s="4" t="n">
        <v>45789</v>
      </c>
      <c r="C1215" s="3" t="s">
        <v>724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3" t="n">
        <v>1</v>
      </c>
      <c r="I1215" s="3" t="n">
        <v>1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/>
      <c r="P1215" s="3" t="n">
        <v>64.1</v>
      </c>
    </row>
    <row r="1216" customFormat="false" ht="15" hidden="false" customHeight="false" outlineLevel="0" collapsed="false">
      <c r="A1216" s="3" t="s">
        <v>1248</v>
      </c>
      <c r="B1216" s="4" t="n">
        <v>45744</v>
      </c>
      <c r="C1216" s="3" t="s">
        <v>724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3" t="n">
        <v>1</v>
      </c>
      <c r="I1216" s="3" t="n">
        <v>1</v>
      </c>
      <c r="J1216" s="3" t="n">
        <v>1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/>
      <c r="P1216" s="3" t="n">
        <v>71.6</v>
      </c>
    </row>
    <row r="1217" customFormat="false" ht="15" hidden="false" customHeight="false" outlineLevel="0" collapsed="false">
      <c r="A1217" s="3" t="s">
        <v>1249</v>
      </c>
      <c r="B1217" s="4" t="n">
        <v>45761</v>
      </c>
      <c r="C1217" s="3" t="s">
        <v>724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3" t="n">
        <v>1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/>
      <c r="P1217" s="3" t="n">
        <v>78.4</v>
      </c>
    </row>
    <row r="1218" customFormat="false" ht="15" hidden="false" customHeight="false" outlineLevel="0" collapsed="false">
      <c r="A1218" s="3" t="s">
        <v>1250</v>
      </c>
      <c r="B1218" s="4" t="n">
        <v>45685</v>
      </c>
      <c r="C1218" s="3" t="s">
        <v>724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/>
      <c r="P1218" s="3" t="n">
        <v>49.3</v>
      </c>
    </row>
    <row r="1219" customFormat="false" ht="15" hidden="false" customHeight="false" outlineLevel="0" collapsed="false">
      <c r="A1219" s="3" t="s">
        <v>1251</v>
      </c>
      <c r="B1219" s="4" t="n">
        <v>45798</v>
      </c>
      <c r="C1219" s="3" t="s">
        <v>724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/>
      <c r="P1219" s="3" t="n">
        <v>52.8</v>
      </c>
    </row>
    <row r="1220" customFormat="false" ht="15" hidden="false" customHeight="false" outlineLevel="0" collapsed="false">
      <c r="A1220" s="3" t="s">
        <v>1252</v>
      </c>
      <c r="B1220" s="4" t="n">
        <v>45788</v>
      </c>
      <c r="C1220" s="3" t="s">
        <v>724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/>
      <c r="P1220" s="3" t="n">
        <v>58.5</v>
      </c>
    </row>
    <row r="1221" customFormat="false" ht="15" hidden="false" customHeight="false" outlineLevel="0" collapsed="false">
      <c r="A1221" s="3" t="s">
        <v>1253</v>
      </c>
      <c r="B1221" s="4" t="n">
        <v>45690</v>
      </c>
      <c r="C1221" s="3" t="s">
        <v>724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3" t="n">
        <v>1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/>
      <c r="P1221" s="3" t="n">
        <v>55.9</v>
      </c>
    </row>
    <row r="1222" customFormat="false" ht="15" hidden="false" customHeight="false" outlineLevel="0" collapsed="false">
      <c r="A1222" s="3" t="s">
        <v>1254</v>
      </c>
      <c r="B1222" s="4" t="n">
        <v>45714</v>
      </c>
      <c r="C1222" s="3" t="s">
        <v>724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3" t="n">
        <v>1</v>
      </c>
      <c r="I1222" s="3" t="n">
        <v>1</v>
      </c>
      <c r="J1222" s="3" t="n">
        <v>1</v>
      </c>
      <c r="K1222" s="3" t="n">
        <v>1</v>
      </c>
      <c r="L1222" s="3" t="n">
        <v>351.43</v>
      </c>
      <c r="M1222" s="3" t="n">
        <v>1</v>
      </c>
      <c r="N1222" s="3" t="n">
        <v>0</v>
      </c>
      <c r="O1222" s="3" t="n">
        <v>6</v>
      </c>
      <c r="P1222" s="3" t="n">
        <v>74.9</v>
      </c>
    </row>
    <row r="1223" customFormat="false" ht="15" hidden="false" customHeight="false" outlineLevel="0" collapsed="false">
      <c r="A1223" s="3" t="s">
        <v>1255</v>
      </c>
      <c r="B1223" s="4" t="n">
        <v>45715</v>
      </c>
      <c r="C1223" s="3" t="s">
        <v>724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3" t="n">
        <v>1</v>
      </c>
      <c r="I1223" s="3" t="n">
        <v>1</v>
      </c>
      <c r="J1223" s="3" t="n">
        <v>1</v>
      </c>
      <c r="K1223" s="3" t="n">
        <v>1</v>
      </c>
      <c r="L1223" s="3" t="n">
        <v>352.42</v>
      </c>
      <c r="M1223" s="3" t="n">
        <v>0</v>
      </c>
      <c r="N1223" s="3" t="n">
        <v>0</v>
      </c>
      <c r="O1223" s="3" t="n">
        <v>4</v>
      </c>
      <c r="P1223" s="3" t="n">
        <v>58.5</v>
      </c>
    </row>
    <row r="1224" customFormat="false" ht="15" hidden="false" customHeight="false" outlineLevel="0" collapsed="false">
      <c r="A1224" s="3" t="s">
        <v>1256</v>
      </c>
      <c r="B1224" s="4" t="n">
        <v>45725</v>
      </c>
      <c r="C1224" s="3" t="s">
        <v>724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/>
      <c r="P1224" s="3" t="n">
        <v>63.5</v>
      </c>
    </row>
    <row r="1225" customFormat="false" ht="15" hidden="false" customHeight="false" outlineLevel="0" collapsed="false">
      <c r="A1225" s="3" t="s">
        <v>1257</v>
      </c>
      <c r="B1225" s="4" t="n">
        <v>45695</v>
      </c>
      <c r="C1225" s="3" t="s">
        <v>724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3" t="n">
        <v>1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1</v>
      </c>
      <c r="N1225" s="3" t="n">
        <v>0</v>
      </c>
      <c r="O1225" s="3"/>
      <c r="P1225" s="3" t="n">
        <v>64.8</v>
      </c>
    </row>
    <row r="1226" customFormat="false" ht="15" hidden="false" customHeight="false" outlineLevel="0" collapsed="false">
      <c r="A1226" s="3" t="s">
        <v>1258</v>
      </c>
      <c r="B1226" s="4" t="n">
        <v>45688</v>
      </c>
      <c r="C1226" s="3" t="s">
        <v>724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/>
      <c r="P1226" s="3" t="n">
        <v>63.3</v>
      </c>
    </row>
    <row r="1227" customFormat="false" ht="15" hidden="false" customHeight="false" outlineLevel="0" collapsed="false">
      <c r="A1227" s="3" t="s">
        <v>1259</v>
      </c>
      <c r="B1227" s="4" t="n">
        <v>45702</v>
      </c>
      <c r="C1227" s="3" t="s">
        <v>724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3" t="n">
        <v>1</v>
      </c>
      <c r="I1227" s="3" t="n">
        <v>1</v>
      </c>
      <c r="J1227" s="3" t="n">
        <v>1</v>
      </c>
      <c r="K1227" s="3" t="n">
        <v>1</v>
      </c>
      <c r="L1227" s="3" t="n">
        <v>1074.16</v>
      </c>
      <c r="M1227" s="3" t="n">
        <v>0</v>
      </c>
      <c r="N1227" s="3" t="n">
        <v>0</v>
      </c>
      <c r="O1227" s="3" t="n">
        <v>8</v>
      </c>
      <c r="P1227" s="3" t="n">
        <v>83.7</v>
      </c>
    </row>
    <row r="1228" customFormat="false" ht="15" hidden="false" customHeight="false" outlineLevel="0" collapsed="false">
      <c r="A1228" s="3" t="s">
        <v>1260</v>
      </c>
      <c r="B1228" s="4" t="n">
        <v>45700</v>
      </c>
      <c r="C1228" s="3" t="s">
        <v>724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/>
      <c r="P1228" s="3" t="n">
        <v>88.7</v>
      </c>
    </row>
    <row r="1229" customFormat="false" ht="15" hidden="false" customHeight="false" outlineLevel="0" collapsed="false">
      <c r="A1229" s="3" t="s">
        <v>1261</v>
      </c>
      <c r="B1229" s="4" t="n">
        <v>45739</v>
      </c>
      <c r="C1229" s="3" t="s">
        <v>724</v>
      </c>
      <c r="D1229" s="3" t="s">
        <v>28</v>
      </c>
      <c r="E1229" s="3" t="s">
        <v>156</v>
      </c>
      <c r="F1229" s="3" t="s">
        <v>29</v>
      </c>
      <c r="G1229" s="3" t="s">
        <v>26</v>
      </c>
      <c r="H1229" s="3" t="n">
        <v>1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1</v>
      </c>
      <c r="N1229" s="3" t="n">
        <v>0</v>
      </c>
      <c r="O1229" s="3"/>
      <c r="P1229" s="3" t="n">
        <v>61.5</v>
      </c>
    </row>
    <row r="1230" customFormat="false" ht="15" hidden="false" customHeight="false" outlineLevel="0" collapsed="false">
      <c r="A1230" s="3" t="s">
        <v>1262</v>
      </c>
      <c r="B1230" s="4" t="n">
        <v>45734</v>
      </c>
      <c r="C1230" s="3" t="s">
        <v>724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3" t="n">
        <v>0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/>
      <c r="P1230" s="3" t="n">
        <v>45.3</v>
      </c>
    </row>
    <row r="1231" customFormat="false" ht="15" hidden="false" customHeight="false" outlineLevel="0" collapsed="false">
      <c r="A1231" s="3" t="s">
        <v>1263</v>
      </c>
      <c r="B1231" s="4" t="n">
        <v>45794</v>
      </c>
      <c r="C1231" s="3" t="s">
        <v>724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3" t="n">
        <v>1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/>
      <c r="P1231" s="3" t="n">
        <v>37.3</v>
      </c>
    </row>
    <row r="1232" customFormat="false" ht="15" hidden="false" customHeight="false" outlineLevel="0" collapsed="false">
      <c r="A1232" s="3" t="s">
        <v>1264</v>
      </c>
      <c r="B1232" s="4" t="n">
        <v>45742</v>
      </c>
      <c r="C1232" s="3" t="s">
        <v>724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3" t="n">
        <v>1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1</v>
      </c>
      <c r="N1232" s="3" t="n">
        <v>0</v>
      </c>
      <c r="O1232" s="3"/>
      <c r="P1232" s="3" t="n">
        <v>76.1</v>
      </c>
    </row>
    <row r="1233" customFormat="false" ht="15" hidden="false" customHeight="false" outlineLevel="0" collapsed="false">
      <c r="A1233" s="3" t="s">
        <v>1265</v>
      </c>
      <c r="B1233" s="4" t="n">
        <v>45746</v>
      </c>
      <c r="C1233" s="3" t="s">
        <v>724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3" t="n">
        <v>1</v>
      </c>
      <c r="I1233" s="3" t="n">
        <v>1</v>
      </c>
      <c r="J1233" s="3" t="n">
        <v>1</v>
      </c>
      <c r="K1233" s="3" t="n">
        <v>0</v>
      </c>
      <c r="L1233" s="3" t="n">
        <v>0</v>
      </c>
      <c r="M1233" s="3" t="n">
        <v>1</v>
      </c>
      <c r="N1233" s="3" t="n">
        <v>0</v>
      </c>
      <c r="O1233" s="3"/>
      <c r="P1233" s="3" t="n">
        <v>72.5</v>
      </c>
    </row>
    <row r="1234" customFormat="false" ht="15" hidden="false" customHeight="false" outlineLevel="0" collapsed="false">
      <c r="A1234" s="3" t="s">
        <v>1266</v>
      </c>
      <c r="B1234" s="4" t="n">
        <v>45713</v>
      </c>
      <c r="C1234" s="3" t="s">
        <v>724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3" t="n">
        <v>1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/>
      <c r="P1234" s="3" t="n">
        <v>62.3</v>
      </c>
    </row>
    <row r="1235" customFormat="false" ht="15" hidden="false" customHeight="false" outlineLevel="0" collapsed="false">
      <c r="A1235" s="3" t="s">
        <v>1267</v>
      </c>
      <c r="B1235" s="4" t="n">
        <v>45717</v>
      </c>
      <c r="C1235" s="3" t="s">
        <v>724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/>
      <c r="P1235" s="3" t="n">
        <v>62.7</v>
      </c>
    </row>
    <row r="1236" customFormat="false" ht="15" hidden="false" customHeight="false" outlineLevel="0" collapsed="false">
      <c r="A1236" s="3" t="s">
        <v>1268</v>
      </c>
      <c r="B1236" s="4" t="n">
        <v>45804</v>
      </c>
      <c r="C1236" s="3" t="s">
        <v>724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/>
      <c r="P1236" s="3" t="n">
        <v>82.4</v>
      </c>
    </row>
    <row r="1237" customFormat="false" ht="15" hidden="false" customHeight="false" outlineLevel="0" collapsed="false">
      <c r="A1237" s="3" t="s">
        <v>1269</v>
      </c>
      <c r="B1237" s="4" t="n">
        <v>45693</v>
      </c>
      <c r="C1237" s="3" t="s">
        <v>724</v>
      </c>
      <c r="D1237" s="3" t="s">
        <v>23</v>
      </c>
      <c r="E1237" s="3" t="s">
        <v>24</v>
      </c>
      <c r="F1237" s="3" t="s">
        <v>156</v>
      </c>
      <c r="G1237" s="3" t="s">
        <v>30</v>
      </c>
      <c r="H1237" s="3" t="n">
        <v>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/>
      <c r="P1237" s="3" t="n">
        <v>78.9</v>
      </c>
    </row>
    <row r="1238" customFormat="false" ht="15" hidden="false" customHeight="false" outlineLevel="0" collapsed="false">
      <c r="A1238" s="3" t="s">
        <v>1270</v>
      </c>
      <c r="B1238" s="4" t="n">
        <v>45682</v>
      </c>
      <c r="C1238" s="3" t="s">
        <v>724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3" t="n">
        <v>1</v>
      </c>
      <c r="I1238" s="3" t="n">
        <v>1</v>
      </c>
      <c r="J1238" s="3" t="n">
        <v>1</v>
      </c>
      <c r="K1238" s="3" t="n">
        <v>1</v>
      </c>
      <c r="L1238" s="3" t="n">
        <v>618.91</v>
      </c>
      <c r="M1238" s="3" t="n">
        <v>0</v>
      </c>
      <c r="N1238" s="3" t="n">
        <v>0</v>
      </c>
      <c r="O1238" s="3" t="n">
        <v>4</v>
      </c>
      <c r="P1238" s="3" t="n">
        <v>67.8</v>
      </c>
    </row>
    <row r="1239" customFormat="false" ht="15" hidden="false" customHeight="false" outlineLevel="0" collapsed="false">
      <c r="A1239" s="3" t="s">
        <v>1271</v>
      </c>
      <c r="B1239" s="4" t="n">
        <v>45757</v>
      </c>
      <c r="C1239" s="3" t="s">
        <v>724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3" t="n">
        <v>1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/>
      <c r="P1239" s="3" t="n">
        <v>68.8</v>
      </c>
    </row>
    <row r="1240" customFormat="false" ht="15" hidden="false" customHeight="false" outlineLevel="0" collapsed="false">
      <c r="A1240" s="3" t="s">
        <v>1272</v>
      </c>
      <c r="B1240" s="4" t="n">
        <v>45667</v>
      </c>
      <c r="C1240" s="3" t="s">
        <v>724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3" t="n">
        <v>1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/>
      <c r="P1240" s="3" t="n">
        <v>67.7</v>
      </c>
    </row>
    <row r="1241" customFormat="false" ht="15" hidden="false" customHeight="false" outlineLevel="0" collapsed="false">
      <c r="A1241" s="3" t="s">
        <v>1273</v>
      </c>
      <c r="B1241" s="4" t="n">
        <v>45711</v>
      </c>
      <c r="C1241" s="3" t="s">
        <v>724</v>
      </c>
      <c r="D1241" s="3" t="s">
        <v>28</v>
      </c>
      <c r="E1241" s="3" t="s">
        <v>24</v>
      </c>
      <c r="F1241" s="3" t="s">
        <v>156</v>
      </c>
      <c r="G1241" s="3" t="s">
        <v>26</v>
      </c>
      <c r="H1241" s="3" t="n">
        <v>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0</v>
      </c>
      <c r="O1241" s="3"/>
      <c r="P1241" s="3" t="n">
        <v>88</v>
      </c>
    </row>
    <row r="1242" customFormat="false" ht="15" hidden="false" customHeight="false" outlineLevel="0" collapsed="false">
      <c r="A1242" s="3" t="s">
        <v>1274</v>
      </c>
      <c r="B1242" s="4" t="n">
        <v>45800</v>
      </c>
      <c r="C1242" s="3" t="s">
        <v>724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3" t="n">
        <v>1</v>
      </c>
      <c r="I1242" s="3" t="n">
        <v>1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/>
      <c r="P1242" s="3" t="n">
        <v>80.1</v>
      </c>
    </row>
    <row r="1243" customFormat="false" ht="15" hidden="false" customHeight="false" outlineLevel="0" collapsed="false">
      <c r="A1243" s="3" t="s">
        <v>1275</v>
      </c>
      <c r="B1243" s="4" t="n">
        <v>45724</v>
      </c>
      <c r="C1243" s="3" t="s">
        <v>724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1</v>
      </c>
      <c r="N1243" s="3" t="n">
        <v>0</v>
      </c>
      <c r="O1243" s="3"/>
      <c r="P1243" s="3" t="n">
        <v>48.2</v>
      </c>
    </row>
    <row r="1244" customFormat="false" ht="15" hidden="false" customHeight="false" outlineLevel="0" collapsed="false">
      <c r="A1244" s="3" t="s">
        <v>1276</v>
      </c>
      <c r="B1244" s="4" t="n">
        <v>45798</v>
      </c>
      <c r="C1244" s="3" t="s">
        <v>724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3" t="n">
        <v>1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/>
      <c r="P1244" s="3" t="n">
        <v>52.7</v>
      </c>
    </row>
    <row r="1245" customFormat="false" ht="15" hidden="false" customHeight="false" outlineLevel="0" collapsed="false">
      <c r="A1245" s="3" t="s">
        <v>1277</v>
      </c>
      <c r="B1245" s="4" t="n">
        <v>45769</v>
      </c>
      <c r="C1245" s="3" t="s">
        <v>724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3" t="n">
        <v>1</v>
      </c>
      <c r="I1245" s="3" t="n">
        <v>1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0</v>
      </c>
      <c r="O1245" s="3"/>
      <c r="P1245" s="3" t="n">
        <v>59.9</v>
      </c>
    </row>
    <row r="1246" customFormat="false" ht="15" hidden="false" customHeight="false" outlineLevel="0" collapsed="false">
      <c r="A1246" s="3" t="s">
        <v>1278</v>
      </c>
      <c r="B1246" s="4" t="n">
        <v>45763</v>
      </c>
      <c r="C1246" s="3" t="s">
        <v>724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3" t="n">
        <v>1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/>
      <c r="P1246" s="3" t="n">
        <v>49.5</v>
      </c>
    </row>
    <row r="1247" customFormat="false" ht="15" hidden="false" customHeight="false" outlineLevel="0" collapsed="false">
      <c r="A1247" s="3" t="s">
        <v>1279</v>
      </c>
      <c r="B1247" s="4" t="n">
        <v>45785</v>
      </c>
      <c r="C1247" s="3" t="s">
        <v>724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3" t="n">
        <v>1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0</v>
      </c>
      <c r="O1247" s="3"/>
      <c r="P1247" s="3" t="n">
        <v>41.5</v>
      </c>
    </row>
    <row r="1248" customFormat="false" ht="15" hidden="false" customHeight="false" outlineLevel="0" collapsed="false">
      <c r="A1248" s="3" t="s">
        <v>1280</v>
      </c>
      <c r="B1248" s="4" t="n">
        <v>45799</v>
      </c>
      <c r="C1248" s="3" t="s">
        <v>724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3" t="n">
        <v>1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/>
      <c r="P1248" s="3" t="n">
        <v>71.2</v>
      </c>
    </row>
    <row r="1249" customFormat="false" ht="15" hidden="false" customHeight="false" outlineLevel="0" collapsed="false">
      <c r="A1249" s="3" t="s">
        <v>1281</v>
      </c>
      <c r="B1249" s="4" t="n">
        <v>45737</v>
      </c>
      <c r="C1249" s="3" t="s">
        <v>724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3" t="n">
        <v>1</v>
      </c>
      <c r="I1249" s="3" t="n">
        <v>1</v>
      </c>
      <c r="J1249" s="3" t="n">
        <v>1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/>
      <c r="P1249" s="3" t="n">
        <v>65.8</v>
      </c>
    </row>
    <row r="1250" customFormat="false" ht="15" hidden="false" customHeight="false" outlineLevel="0" collapsed="false">
      <c r="A1250" s="3" t="s">
        <v>1282</v>
      </c>
      <c r="B1250" s="4" t="n">
        <v>45738</v>
      </c>
      <c r="C1250" s="3" t="s">
        <v>724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3" t="n">
        <v>1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1</v>
      </c>
      <c r="N1250" s="3" t="n">
        <v>0</v>
      </c>
      <c r="O1250" s="3"/>
      <c r="P1250" s="3" t="n">
        <v>55.1</v>
      </c>
    </row>
    <row r="1251" customFormat="false" ht="15" hidden="false" customHeight="false" outlineLevel="0" collapsed="false">
      <c r="A1251" s="3" t="s">
        <v>1283</v>
      </c>
      <c r="B1251" s="4" t="n">
        <v>45667</v>
      </c>
      <c r="C1251" s="3" t="s">
        <v>724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3" t="n">
        <v>1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0</v>
      </c>
      <c r="O1251" s="3"/>
      <c r="P1251" s="3" t="n">
        <v>54.6</v>
      </c>
    </row>
    <row r="1252" customFormat="false" ht="15" hidden="false" customHeight="false" outlineLevel="0" collapsed="false">
      <c r="A1252" s="3" t="s">
        <v>1284</v>
      </c>
      <c r="B1252" s="4" t="n">
        <v>45689</v>
      </c>
      <c r="C1252" s="3" t="s">
        <v>724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3" t="n">
        <v>1</v>
      </c>
      <c r="I1252" s="3" t="n">
        <v>1</v>
      </c>
      <c r="J1252" s="3" t="n">
        <v>1</v>
      </c>
      <c r="K1252" s="3" t="n">
        <v>1</v>
      </c>
      <c r="L1252" s="3" t="n">
        <v>923.67</v>
      </c>
      <c r="M1252" s="3" t="n">
        <v>0</v>
      </c>
      <c r="N1252" s="3" t="n">
        <v>0</v>
      </c>
      <c r="O1252" s="3" t="n">
        <v>4</v>
      </c>
      <c r="P1252" s="3" t="n">
        <v>81.9</v>
      </c>
    </row>
    <row r="1253" customFormat="false" ht="15" hidden="false" customHeight="false" outlineLevel="0" collapsed="false">
      <c r="A1253" s="3" t="s">
        <v>1285</v>
      </c>
      <c r="B1253" s="4" t="n">
        <v>45747</v>
      </c>
      <c r="C1253" s="3" t="s">
        <v>724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3" t="n">
        <v>1</v>
      </c>
      <c r="I1253" s="3" t="n">
        <v>1</v>
      </c>
      <c r="J1253" s="3" t="n">
        <v>0</v>
      </c>
      <c r="K1253" s="3" t="n">
        <v>0</v>
      </c>
      <c r="L1253" s="3" t="n">
        <v>0</v>
      </c>
      <c r="M1253" s="3" t="n">
        <v>3</v>
      </c>
      <c r="N1253" s="3" t="n">
        <v>0</v>
      </c>
      <c r="O1253" s="3"/>
      <c r="P1253" s="3" t="n">
        <v>63.2</v>
      </c>
    </row>
    <row r="1254" customFormat="false" ht="15" hidden="false" customHeight="false" outlineLevel="0" collapsed="false">
      <c r="A1254" s="3" t="s">
        <v>1286</v>
      </c>
      <c r="B1254" s="4" t="n">
        <v>45772</v>
      </c>
      <c r="C1254" s="3" t="s">
        <v>724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3" t="n">
        <v>1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/>
      <c r="P1254" s="3" t="n">
        <v>55.4</v>
      </c>
    </row>
    <row r="1255" customFormat="false" ht="15" hidden="false" customHeight="false" outlineLevel="0" collapsed="false">
      <c r="A1255" s="3" t="s">
        <v>1287</v>
      </c>
      <c r="B1255" s="4" t="n">
        <v>45779</v>
      </c>
      <c r="C1255" s="3" t="s">
        <v>724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3" t="n">
        <v>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0</v>
      </c>
      <c r="O1255" s="3"/>
      <c r="P1255" s="3" t="n">
        <v>87.5</v>
      </c>
    </row>
    <row r="1256" customFormat="false" ht="15" hidden="false" customHeight="false" outlineLevel="0" collapsed="false">
      <c r="A1256" s="3" t="s">
        <v>1288</v>
      </c>
      <c r="B1256" s="4" t="n">
        <v>45724</v>
      </c>
      <c r="C1256" s="3" t="s">
        <v>724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3" t="n">
        <v>1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/>
      <c r="P1256" s="3" t="n">
        <v>48.5</v>
      </c>
    </row>
    <row r="1257" customFormat="false" ht="15" hidden="false" customHeight="false" outlineLevel="0" collapsed="false">
      <c r="A1257" s="3" t="s">
        <v>1289</v>
      </c>
      <c r="B1257" s="4" t="n">
        <v>45684</v>
      </c>
      <c r="C1257" s="3" t="s">
        <v>724</v>
      </c>
      <c r="D1257" s="3" t="s">
        <v>28</v>
      </c>
      <c r="E1257" s="3" t="s">
        <v>19</v>
      </c>
      <c r="F1257" s="3" t="s">
        <v>156</v>
      </c>
      <c r="G1257" s="3" t="s">
        <v>26</v>
      </c>
      <c r="H1257" s="3" t="n">
        <v>1</v>
      </c>
      <c r="I1257" s="3" t="n">
        <v>1</v>
      </c>
      <c r="J1257" s="3" t="n">
        <v>1</v>
      </c>
      <c r="K1257" s="3" t="n">
        <v>1</v>
      </c>
      <c r="L1257" s="3" t="n">
        <v>420.27</v>
      </c>
      <c r="M1257" s="3" t="n">
        <v>0</v>
      </c>
      <c r="N1257" s="3" t="n">
        <v>0</v>
      </c>
      <c r="O1257" s="3" t="n">
        <v>6</v>
      </c>
      <c r="P1257" s="3" t="n">
        <v>58.4</v>
      </c>
    </row>
    <row r="1258" customFormat="false" ht="15" hidden="false" customHeight="false" outlineLevel="0" collapsed="false">
      <c r="A1258" s="3" t="s">
        <v>1290</v>
      </c>
      <c r="B1258" s="4" t="n">
        <v>45774</v>
      </c>
      <c r="C1258" s="3" t="s">
        <v>724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3" t="n">
        <v>0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/>
      <c r="P1258" s="3" t="n">
        <v>59.5</v>
      </c>
    </row>
    <row r="1259" customFormat="false" ht="15" hidden="false" customHeight="false" outlineLevel="0" collapsed="false">
      <c r="A1259" s="3" t="s">
        <v>1291</v>
      </c>
      <c r="B1259" s="4" t="n">
        <v>45673</v>
      </c>
      <c r="C1259" s="3" t="s">
        <v>724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3" t="n">
        <v>1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0</v>
      </c>
      <c r="O1259" s="3"/>
      <c r="P1259" s="3" t="n">
        <v>93.2</v>
      </c>
    </row>
    <row r="1260" customFormat="false" ht="15" hidden="false" customHeight="false" outlineLevel="0" collapsed="false">
      <c r="A1260" s="3" t="s">
        <v>1292</v>
      </c>
      <c r="B1260" s="4" t="n">
        <v>45675</v>
      </c>
      <c r="C1260" s="3" t="s">
        <v>724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3" t="n">
        <v>1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/>
      <c r="P1260" s="3" t="n">
        <v>59</v>
      </c>
    </row>
    <row r="1261" customFormat="false" ht="15" hidden="false" customHeight="false" outlineLevel="0" collapsed="false">
      <c r="A1261" s="3" t="s">
        <v>1293</v>
      </c>
      <c r="B1261" s="4" t="n">
        <v>45737</v>
      </c>
      <c r="C1261" s="3" t="s">
        <v>724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3" t="n">
        <v>1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/>
      <c r="P1261" s="3" t="n">
        <v>37</v>
      </c>
    </row>
    <row r="1262" customFormat="false" ht="15" hidden="false" customHeight="false" outlineLevel="0" collapsed="false">
      <c r="A1262" s="3" t="s">
        <v>1294</v>
      </c>
      <c r="B1262" s="4" t="n">
        <v>45749</v>
      </c>
      <c r="C1262" s="3" t="s">
        <v>724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3" t="n">
        <v>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/>
      <c r="P1262" s="3" t="n">
        <v>47.5</v>
      </c>
    </row>
    <row r="1263" customFormat="false" ht="15" hidden="false" customHeight="false" outlineLevel="0" collapsed="false">
      <c r="A1263" s="3" t="s">
        <v>1295</v>
      </c>
      <c r="B1263" s="4" t="n">
        <v>45704</v>
      </c>
      <c r="C1263" s="3" t="s">
        <v>724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3" t="n">
        <v>1</v>
      </c>
      <c r="I1263" s="3" t="n">
        <v>1</v>
      </c>
      <c r="J1263" s="3" t="n">
        <v>1</v>
      </c>
      <c r="K1263" s="3" t="n">
        <v>0</v>
      </c>
      <c r="L1263" s="3" t="n">
        <v>0</v>
      </c>
      <c r="M1263" s="3" t="n">
        <v>0</v>
      </c>
      <c r="N1263" s="3" t="n">
        <v>0</v>
      </c>
      <c r="O1263" s="3"/>
      <c r="P1263" s="3" t="n">
        <v>78.7</v>
      </c>
    </row>
    <row r="1264" customFormat="false" ht="15" hidden="false" customHeight="false" outlineLevel="0" collapsed="false">
      <c r="A1264" s="3" t="s">
        <v>1296</v>
      </c>
      <c r="B1264" s="4" t="n">
        <v>45706</v>
      </c>
      <c r="C1264" s="3" t="s">
        <v>724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3" t="n">
        <v>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/>
      <c r="P1264" s="3" t="n">
        <v>49.6</v>
      </c>
    </row>
    <row r="1265" customFormat="false" ht="15" hidden="false" customHeight="false" outlineLevel="0" collapsed="false">
      <c r="A1265" s="3" t="s">
        <v>1297</v>
      </c>
      <c r="B1265" s="4" t="n">
        <v>45666</v>
      </c>
      <c r="C1265" s="3" t="s">
        <v>724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3" t="n">
        <v>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0</v>
      </c>
      <c r="O1265" s="3"/>
      <c r="P1265" s="3" t="n">
        <v>58</v>
      </c>
    </row>
    <row r="1266" customFormat="false" ht="15" hidden="false" customHeight="false" outlineLevel="0" collapsed="false">
      <c r="A1266" s="3" t="s">
        <v>1298</v>
      </c>
      <c r="B1266" s="4" t="n">
        <v>45706</v>
      </c>
      <c r="C1266" s="3" t="s">
        <v>724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3" t="n">
        <v>1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1</v>
      </c>
      <c r="N1266" s="3" t="n">
        <v>0</v>
      </c>
      <c r="O1266" s="3"/>
      <c r="P1266" s="3" t="n">
        <v>54.4</v>
      </c>
    </row>
    <row r="1267" customFormat="false" ht="15" hidden="false" customHeight="false" outlineLevel="0" collapsed="false">
      <c r="A1267" s="3" t="s">
        <v>1299</v>
      </c>
      <c r="B1267" s="4" t="n">
        <v>45667</v>
      </c>
      <c r="C1267" s="3" t="s">
        <v>724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/>
      <c r="P1267" s="3" t="n">
        <v>33.7</v>
      </c>
    </row>
    <row r="1268" customFormat="false" ht="15" hidden="false" customHeight="false" outlineLevel="0" collapsed="false">
      <c r="A1268" s="3" t="s">
        <v>1300</v>
      </c>
      <c r="B1268" s="4" t="n">
        <v>45724</v>
      </c>
      <c r="C1268" s="3" t="s">
        <v>724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3" t="n">
        <v>1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0</v>
      </c>
      <c r="O1268" s="3"/>
      <c r="P1268" s="3" t="n">
        <v>72.7</v>
      </c>
    </row>
    <row r="1269" customFormat="false" ht="15" hidden="false" customHeight="false" outlineLevel="0" collapsed="false">
      <c r="A1269" s="3" t="s">
        <v>1301</v>
      </c>
      <c r="B1269" s="4" t="n">
        <v>45763</v>
      </c>
      <c r="C1269" s="3" t="s">
        <v>724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3" t="n">
        <v>0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/>
      <c r="P1269" s="3" t="n">
        <v>64.7</v>
      </c>
    </row>
    <row r="1270" customFormat="false" ht="15" hidden="false" customHeight="false" outlineLevel="0" collapsed="false">
      <c r="A1270" s="3" t="s">
        <v>1302</v>
      </c>
      <c r="B1270" s="4" t="n">
        <v>45707</v>
      </c>
      <c r="C1270" s="3" t="s">
        <v>724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1</v>
      </c>
      <c r="N1270" s="3" t="n">
        <v>0</v>
      </c>
      <c r="O1270" s="3"/>
      <c r="P1270" s="3" t="n">
        <v>48.6</v>
      </c>
    </row>
    <row r="1271" customFormat="false" ht="15" hidden="false" customHeight="false" outlineLevel="0" collapsed="false">
      <c r="A1271" s="3" t="s">
        <v>1303</v>
      </c>
      <c r="B1271" s="4" t="n">
        <v>45732</v>
      </c>
      <c r="C1271" s="3" t="s">
        <v>724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3" t="n">
        <v>1</v>
      </c>
      <c r="I1271" s="3" t="n">
        <v>1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0</v>
      </c>
      <c r="O1271" s="3"/>
      <c r="P1271" s="3" t="n">
        <v>66.2</v>
      </c>
    </row>
    <row r="1272" customFormat="false" ht="15" hidden="false" customHeight="false" outlineLevel="0" collapsed="false">
      <c r="A1272" s="3" t="s">
        <v>1304</v>
      </c>
      <c r="B1272" s="4" t="n">
        <v>45691</v>
      </c>
      <c r="C1272" s="3" t="s">
        <v>724</v>
      </c>
      <c r="D1272" s="3" t="s">
        <v>23</v>
      </c>
      <c r="E1272" s="3" t="s">
        <v>156</v>
      </c>
      <c r="F1272" s="3" t="s">
        <v>39</v>
      </c>
      <c r="G1272" s="3" t="s">
        <v>21</v>
      </c>
      <c r="H1272" s="3" t="n">
        <v>1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1</v>
      </c>
      <c r="N1272" s="3" t="n">
        <v>0</v>
      </c>
      <c r="O1272" s="3"/>
      <c r="P1272" s="3" t="n">
        <v>60.7</v>
      </c>
    </row>
    <row r="1273" customFormat="false" ht="15" hidden="false" customHeight="false" outlineLevel="0" collapsed="false">
      <c r="A1273" s="3" t="s">
        <v>1305</v>
      </c>
      <c r="B1273" s="4" t="n">
        <v>45728</v>
      </c>
      <c r="C1273" s="3" t="s">
        <v>724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3" t="n">
        <v>1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/>
      <c r="P1273" s="3" t="n">
        <v>36.5</v>
      </c>
    </row>
    <row r="1274" customFormat="false" ht="15" hidden="false" customHeight="false" outlineLevel="0" collapsed="false">
      <c r="A1274" s="3" t="s">
        <v>1306</v>
      </c>
      <c r="B1274" s="4" t="n">
        <v>45786</v>
      </c>
      <c r="C1274" s="3" t="s">
        <v>724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3" t="n">
        <v>1</v>
      </c>
      <c r="I1274" s="3" t="n">
        <v>1</v>
      </c>
      <c r="J1274" s="3" t="n">
        <v>1</v>
      </c>
      <c r="K1274" s="3" t="n">
        <v>0</v>
      </c>
      <c r="L1274" s="3" t="n">
        <v>0</v>
      </c>
      <c r="M1274" s="3" t="n">
        <v>3</v>
      </c>
      <c r="N1274" s="3" t="n">
        <v>0</v>
      </c>
      <c r="O1274" s="3"/>
      <c r="P1274" s="3" t="n">
        <v>69.7</v>
      </c>
    </row>
    <row r="1275" customFormat="false" ht="15" hidden="false" customHeight="false" outlineLevel="0" collapsed="false">
      <c r="A1275" s="3" t="s">
        <v>1307</v>
      </c>
      <c r="B1275" s="4" t="n">
        <v>45676</v>
      </c>
      <c r="C1275" s="3" t="s">
        <v>724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3" t="n">
        <v>1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0</v>
      </c>
      <c r="O1275" s="3"/>
      <c r="P1275" s="3" t="n">
        <v>81.8</v>
      </c>
    </row>
    <row r="1276" customFormat="false" ht="15" hidden="false" customHeight="false" outlineLevel="0" collapsed="false">
      <c r="A1276" s="3" t="s">
        <v>1308</v>
      </c>
      <c r="B1276" s="4" t="n">
        <v>45681</v>
      </c>
      <c r="C1276" s="3" t="s">
        <v>724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3" t="n">
        <v>1</v>
      </c>
      <c r="I1276" s="3" t="n">
        <v>1</v>
      </c>
      <c r="J1276" s="3" t="n">
        <v>1</v>
      </c>
      <c r="K1276" s="3" t="n">
        <v>0</v>
      </c>
      <c r="L1276" s="3" t="n">
        <v>0</v>
      </c>
      <c r="M1276" s="3" t="n">
        <v>1</v>
      </c>
      <c r="N1276" s="3" t="n">
        <v>0</v>
      </c>
      <c r="O1276" s="3"/>
      <c r="P1276" s="3" t="n">
        <v>78.3</v>
      </c>
    </row>
    <row r="1277" customFormat="false" ht="15" hidden="false" customHeight="false" outlineLevel="0" collapsed="false">
      <c r="A1277" s="3" t="s">
        <v>1309</v>
      </c>
      <c r="B1277" s="4" t="n">
        <v>45719</v>
      </c>
      <c r="C1277" s="3" t="s">
        <v>724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3" t="n">
        <v>1</v>
      </c>
      <c r="I1277" s="3" t="n">
        <v>1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/>
      <c r="P1277" s="3" t="n">
        <v>79.4</v>
      </c>
    </row>
    <row r="1278" customFormat="false" ht="15" hidden="false" customHeight="false" outlineLevel="0" collapsed="false">
      <c r="A1278" s="3" t="s">
        <v>1310</v>
      </c>
      <c r="B1278" s="4" t="n">
        <v>45804</v>
      </c>
      <c r="C1278" s="3" t="s">
        <v>724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3" t="n">
        <v>1</v>
      </c>
      <c r="I1278" s="3" t="n">
        <v>1</v>
      </c>
      <c r="J1278" s="3" t="n">
        <v>1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/>
      <c r="P1278" s="3" t="n">
        <v>54.9</v>
      </c>
    </row>
    <row r="1279" customFormat="false" ht="15" hidden="false" customHeight="false" outlineLevel="0" collapsed="false">
      <c r="A1279" s="3" t="s">
        <v>1311</v>
      </c>
      <c r="B1279" s="4" t="n">
        <v>45770</v>
      </c>
      <c r="C1279" s="3" t="s">
        <v>724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3" t="n">
        <v>1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0</v>
      </c>
      <c r="O1279" s="3"/>
      <c r="P1279" s="3" t="n">
        <v>54.9</v>
      </c>
    </row>
    <row r="1280" customFormat="false" ht="15" hidden="false" customHeight="false" outlineLevel="0" collapsed="false">
      <c r="A1280" s="3" t="s">
        <v>1312</v>
      </c>
      <c r="B1280" s="4" t="n">
        <v>45698</v>
      </c>
      <c r="C1280" s="3" t="s">
        <v>724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3" t="n">
        <v>0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0</v>
      </c>
      <c r="O1280" s="3"/>
      <c r="P1280" s="3" t="n">
        <v>28.7</v>
      </c>
    </row>
    <row r="1281" customFormat="false" ht="15" hidden="false" customHeight="false" outlineLevel="0" collapsed="false">
      <c r="A1281" s="3" t="s">
        <v>1313</v>
      </c>
      <c r="B1281" s="4" t="n">
        <v>45699</v>
      </c>
      <c r="C1281" s="3" t="s">
        <v>724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/>
      <c r="P1281" s="3" t="n">
        <v>68.8</v>
      </c>
    </row>
    <row r="1282" customFormat="false" ht="15" hidden="false" customHeight="false" outlineLevel="0" collapsed="false">
      <c r="A1282" s="3" t="s">
        <v>1314</v>
      </c>
      <c r="B1282" s="4" t="n">
        <v>45678</v>
      </c>
      <c r="C1282" s="3" t="s">
        <v>724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3" t="n">
        <v>1</v>
      </c>
      <c r="I1282" s="3" t="n">
        <v>1</v>
      </c>
      <c r="J1282" s="3" t="n">
        <v>1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/>
      <c r="P1282" s="3" t="n">
        <v>43.5</v>
      </c>
    </row>
    <row r="1283" customFormat="false" ht="15" hidden="false" customHeight="false" outlineLevel="0" collapsed="false">
      <c r="A1283" s="3" t="s">
        <v>1315</v>
      </c>
      <c r="B1283" s="4" t="n">
        <v>45690</v>
      </c>
      <c r="C1283" s="3" t="s">
        <v>724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3" t="n">
        <v>1</v>
      </c>
      <c r="I1283" s="3" t="n">
        <v>1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/>
      <c r="P1283" s="3" t="n">
        <v>62.6</v>
      </c>
    </row>
    <row r="1284" customFormat="false" ht="15" hidden="false" customHeight="false" outlineLevel="0" collapsed="false">
      <c r="A1284" s="3" t="s">
        <v>1316</v>
      </c>
      <c r="B1284" s="4" t="n">
        <v>45690</v>
      </c>
      <c r="C1284" s="3" t="s">
        <v>724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3" t="n">
        <v>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1</v>
      </c>
      <c r="N1284" s="3" t="n">
        <v>0</v>
      </c>
      <c r="O1284" s="3"/>
      <c r="P1284" s="3" t="n">
        <v>54.1</v>
      </c>
    </row>
    <row r="1285" customFormat="false" ht="15" hidden="false" customHeight="false" outlineLevel="0" collapsed="false">
      <c r="A1285" s="3" t="s">
        <v>1317</v>
      </c>
      <c r="B1285" s="4" t="n">
        <v>45714</v>
      </c>
      <c r="C1285" s="3" t="s">
        <v>724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3" t="n">
        <v>1</v>
      </c>
      <c r="I1285" s="3" t="n">
        <v>1</v>
      </c>
      <c r="J1285" s="3" t="n">
        <v>1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/>
      <c r="P1285" s="3" t="n">
        <v>80.1</v>
      </c>
    </row>
    <row r="1286" customFormat="false" ht="15" hidden="false" customHeight="false" outlineLevel="0" collapsed="false">
      <c r="A1286" s="3" t="s">
        <v>1318</v>
      </c>
      <c r="B1286" s="4" t="n">
        <v>45769</v>
      </c>
      <c r="C1286" s="3" t="s">
        <v>724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3" t="n">
        <v>1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0</v>
      </c>
      <c r="O1286" s="3"/>
      <c r="P1286" s="3" t="n">
        <v>69.5</v>
      </c>
    </row>
    <row r="1287" customFormat="false" ht="15" hidden="false" customHeight="false" outlineLevel="0" collapsed="false">
      <c r="A1287" s="3" t="s">
        <v>1319</v>
      </c>
      <c r="B1287" s="4" t="n">
        <v>45727</v>
      </c>
      <c r="C1287" s="3" t="s">
        <v>724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2</v>
      </c>
      <c r="N1287" s="3" t="n">
        <v>0</v>
      </c>
      <c r="O1287" s="3"/>
      <c r="P1287" s="3" t="n">
        <v>46.6</v>
      </c>
    </row>
    <row r="1288" customFormat="false" ht="15" hidden="false" customHeight="false" outlineLevel="0" collapsed="false">
      <c r="A1288" s="3" t="s">
        <v>1320</v>
      </c>
      <c r="B1288" s="4" t="n">
        <v>45785</v>
      </c>
      <c r="C1288" s="3" t="s">
        <v>724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3" t="n">
        <v>1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1</v>
      </c>
      <c r="N1288" s="3" t="n">
        <v>0</v>
      </c>
      <c r="O1288" s="3"/>
      <c r="P1288" s="3" t="n">
        <v>54.9</v>
      </c>
    </row>
    <row r="1289" customFormat="false" ht="15" hidden="false" customHeight="false" outlineLevel="0" collapsed="false">
      <c r="A1289" s="3" t="s">
        <v>1321</v>
      </c>
      <c r="B1289" s="4" t="n">
        <v>45726</v>
      </c>
      <c r="C1289" s="3" t="s">
        <v>724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/>
      <c r="P1289" s="3" t="n">
        <v>100</v>
      </c>
    </row>
    <row r="1290" customFormat="false" ht="15" hidden="false" customHeight="false" outlineLevel="0" collapsed="false">
      <c r="A1290" s="3" t="s">
        <v>1322</v>
      </c>
      <c r="B1290" s="4" t="n">
        <v>45763</v>
      </c>
      <c r="C1290" s="3" t="s">
        <v>724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3" t="n">
        <v>1</v>
      </c>
      <c r="I1290" s="3" t="n">
        <v>1</v>
      </c>
      <c r="J1290" s="3" t="n">
        <v>1</v>
      </c>
      <c r="K1290" s="3" t="n">
        <v>0</v>
      </c>
      <c r="L1290" s="3" t="n">
        <v>0</v>
      </c>
      <c r="M1290" s="3" t="n">
        <v>1</v>
      </c>
      <c r="N1290" s="3" t="n">
        <v>0</v>
      </c>
      <c r="O1290" s="3"/>
      <c r="P1290" s="3" t="n">
        <v>80.5</v>
      </c>
    </row>
    <row r="1291" customFormat="false" ht="15" hidden="false" customHeight="false" outlineLevel="0" collapsed="false">
      <c r="A1291" s="3" t="s">
        <v>1323</v>
      </c>
      <c r="B1291" s="4" t="n">
        <v>45717</v>
      </c>
      <c r="C1291" s="3" t="s">
        <v>724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3" t="n">
        <v>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/>
      <c r="P1291" s="3" t="n">
        <v>51.2</v>
      </c>
    </row>
    <row r="1292" customFormat="false" ht="15" hidden="false" customHeight="false" outlineLevel="0" collapsed="false">
      <c r="A1292" s="3" t="s">
        <v>1324</v>
      </c>
      <c r="B1292" s="4" t="n">
        <v>45675</v>
      </c>
      <c r="C1292" s="3" t="s">
        <v>724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3" t="n">
        <v>1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/>
      <c r="P1292" s="3" t="n">
        <v>42.5</v>
      </c>
    </row>
    <row r="1293" customFormat="false" ht="15" hidden="false" customHeight="false" outlineLevel="0" collapsed="false">
      <c r="A1293" s="3" t="s">
        <v>1325</v>
      </c>
      <c r="B1293" s="4" t="n">
        <v>45746</v>
      </c>
      <c r="C1293" s="3" t="s">
        <v>724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/>
      <c r="P1293" s="3" t="n">
        <v>72.5</v>
      </c>
    </row>
    <row r="1294" customFormat="false" ht="15" hidden="false" customHeight="false" outlineLevel="0" collapsed="false">
      <c r="A1294" s="3" t="s">
        <v>1326</v>
      </c>
      <c r="B1294" s="4" t="n">
        <v>45803</v>
      </c>
      <c r="C1294" s="3" t="s">
        <v>724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/>
      <c r="P1294" s="3" t="n">
        <v>74.4</v>
      </c>
    </row>
    <row r="1295" customFormat="false" ht="15" hidden="false" customHeight="false" outlineLevel="0" collapsed="false">
      <c r="A1295" s="3" t="s">
        <v>1327</v>
      </c>
      <c r="B1295" s="4" t="n">
        <v>45735</v>
      </c>
      <c r="C1295" s="3" t="s">
        <v>724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/>
      <c r="P1295" s="3" t="n">
        <v>78.4</v>
      </c>
    </row>
    <row r="1296" customFormat="false" ht="15" hidden="false" customHeight="false" outlineLevel="0" collapsed="false">
      <c r="A1296" s="3" t="s">
        <v>1328</v>
      </c>
      <c r="B1296" s="4" t="n">
        <v>45744</v>
      </c>
      <c r="C1296" s="3" t="s">
        <v>724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3" t="n">
        <v>1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0</v>
      </c>
      <c r="O1296" s="3"/>
      <c r="P1296" s="3" t="n">
        <v>71.5</v>
      </c>
    </row>
    <row r="1297" customFormat="false" ht="15" hidden="false" customHeight="false" outlineLevel="0" collapsed="false">
      <c r="A1297" s="3" t="s">
        <v>1329</v>
      </c>
      <c r="B1297" s="4" t="n">
        <v>45805</v>
      </c>
      <c r="C1297" s="3" t="s">
        <v>724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3" t="n">
        <v>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0</v>
      </c>
      <c r="O1297" s="3"/>
      <c r="P1297" s="3" t="n">
        <v>66.7</v>
      </c>
    </row>
    <row r="1298" customFormat="false" ht="15" hidden="false" customHeight="false" outlineLevel="0" collapsed="false">
      <c r="A1298" s="3" t="s">
        <v>1330</v>
      </c>
      <c r="B1298" s="4" t="n">
        <v>45808</v>
      </c>
      <c r="C1298" s="3" t="s">
        <v>724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3" t="n">
        <v>1</v>
      </c>
      <c r="I1298" s="3" t="n">
        <v>1</v>
      </c>
      <c r="J1298" s="3" t="n">
        <v>1</v>
      </c>
      <c r="K1298" s="3" t="n">
        <v>1</v>
      </c>
      <c r="L1298" s="3" t="n">
        <v>1496.09</v>
      </c>
      <c r="M1298" s="3" t="n">
        <v>0</v>
      </c>
      <c r="N1298" s="3" t="n">
        <v>0</v>
      </c>
      <c r="O1298" s="3" t="n">
        <v>7</v>
      </c>
      <c r="P1298" s="3" t="n">
        <v>60.4</v>
      </c>
    </row>
    <row r="1299" customFormat="false" ht="15" hidden="false" customHeight="false" outlineLevel="0" collapsed="false">
      <c r="A1299" s="3" t="s">
        <v>1331</v>
      </c>
      <c r="B1299" s="4" t="n">
        <v>45787</v>
      </c>
      <c r="C1299" s="3" t="s">
        <v>724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3" t="n">
        <v>0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1</v>
      </c>
      <c r="N1299" s="3" t="n">
        <v>0</v>
      </c>
      <c r="O1299" s="3"/>
      <c r="P1299" s="3" t="n">
        <v>72.9</v>
      </c>
    </row>
    <row r="1300" customFormat="false" ht="15" hidden="false" customHeight="false" outlineLevel="0" collapsed="false">
      <c r="A1300" s="3" t="s">
        <v>1332</v>
      </c>
      <c r="B1300" s="4" t="n">
        <v>45794</v>
      </c>
      <c r="C1300" s="3" t="s">
        <v>724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3</v>
      </c>
      <c r="N1300" s="3" t="n">
        <v>0</v>
      </c>
      <c r="O1300" s="3"/>
      <c r="P1300" s="3"/>
    </row>
    <row r="1301" customFormat="false" ht="15" hidden="false" customHeight="false" outlineLevel="0" collapsed="false">
      <c r="A1301" s="3" t="s">
        <v>1333</v>
      </c>
      <c r="B1301" s="4" t="n">
        <v>45675</v>
      </c>
      <c r="C1301" s="3" t="s">
        <v>724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3" t="n">
        <v>1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0</v>
      </c>
      <c r="O1301" s="3"/>
      <c r="P1301" s="3" t="n">
        <v>55.2</v>
      </c>
    </row>
    <row r="1302" customFormat="false" ht="15" hidden="false" customHeight="false" outlineLevel="0" collapsed="false">
      <c r="A1302" s="3" t="s">
        <v>1334</v>
      </c>
      <c r="B1302" s="4" t="n">
        <v>45781</v>
      </c>
      <c r="C1302" s="3" t="s">
        <v>724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3" t="n">
        <v>1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0</v>
      </c>
      <c r="O1302" s="3"/>
      <c r="P1302" s="3" t="n">
        <v>67.8</v>
      </c>
    </row>
    <row r="1303" customFormat="false" ht="15" hidden="false" customHeight="false" outlineLevel="0" collapsed="false">
      <c r="A1303" s="3" t="s">
        <v>1335</v>
      </c>
      <c r="B1303" s="4" t="n">
        <v>45741</v>
      </c>
      <c r="C1303" s="3" t="s">
        <v>724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3" t="n">
        <v>1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2</v>
      </c>
      <c r="N1303" s="3" t="n">
        <v>0</v>
      </c>
      <c r="O1303" s="3"/>
      <c r="P1303" s="3" t="n">
        <v>70</v>
      </c>
    </row>
    <row r="1304" customFormat="false" ht="15" hidden="false" customHeight="false" outlineLevel="0" collapsed="false">
      <c r="A1304" s="3" t="s">
        <v>1336</v>
      </c>
      <c r="B1304" s="4" t="n">
        <v>45715</v>
      </c>
      <c r="C1304" s="3" t="s">
        <v>724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3" t="n">
        <v>1</v>
      </c>
      <c r="I1304" s="3" t="n">
        <v>1</v>
      </c>
      <c r="J1304" s="3" t="n">
        <v>1</v>
      </c>
      <c r="K1304" s="3" t="n">
        <v>0</v>
      </c>
      <c r="L1304" s="3" t="n">
        <v>0</v>
      </c>
      <c r="M1304" s="3" t="n">
        <v>0</v>
      </c>
      <c r="N1304" s="3" t="n">
        <v>0</v>
      </c>
      <c r="O1304" s="3"/>
      <c r="P1304" s="3" t="n">
        <v>51.1</v>
      </c>
    </row>
    <row r="1305" customFormat="false" ht="15" hidden="false" customHeight="false" outlineLevel="0" collapsed="false">
      <c r="A1305" s="3" t="s">
        <v>1337</v>
      </c>
      <c r="B1305" s="4" t="n">
        <v>45671</v>
      </c>
      <c r="C1305" s="3" t="s">
        <v>724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3" t="n">
        <v>1</v>
      </c>
      <c r="I1305" s="3" t="n">
        <v>1</v>
      </c>
      <c r="J1305" s="3" t="n">
        <v>1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/>
      <c r="P1305" s="3" t="n">
        <v>57</v>
      </c>
    </row>
    <row r="1306" customFormat="false" ht="15" hidden="false" customHeight="false" outlineLevel="0" collapsed="false">
      <c r="A1306" s="3" t="s">
        <v>1338</v>
      </c>
      <c r="B1306" s="4" t="n">
        <v>45758</v>
      </c>
      <c r="C1306" s="3" t="s">
        <v>724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1</v>
      </c>
      <c r="N1306" s="3" t="n">
        <v>0</v>
      </c>
      <c r="O1306" s="3"/>
      <c r="P1306" s="3" t="n">
        <v>47.1</v>
      </c>
    </row>
    <row r="1307" customFormat="false" ht="15" hidden="false" customHeight="false" outlineLevel="0" collapsed="false">
      <c r="A1307" s="3" t="s">
        <v>1339</v>
      </c>
      <c r="B1307" s="4" t="n">
        <v>45742</v>
      </c>
      <c r="C1307" s="3" t="s">
        <v>724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/>
      <c r="P1307" s="3" t="n">
        <v>30.7</v>
      </c>
    </row>
    <row r="1308" customFormat="false" ht="15" hidden="false" customHeight="false" outlineLevel="0" collapsed="false">
      <c r="A1308" s="3" t="s">
        <v>1340</v>
      </c>
      <c r="B1308" s="4" t="n">
        <v>45700</v>
      </c>
      <c r="C1308" s="3" t="s">
        <v>724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3" t="n">
        <v>1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/>
      <c r="P1308" s="3" t="n">
        <v>57.3</v>
      </c>
    </row>
    <row r="1309" customFormat="false" ht="15" hidden="false" customHeight="false" outlineLevel="0" collapsed="false">
      <c r="A1309" s="3" t="s">
        <v>1341</v>
      </c>
      <c r="B1309" s="4" t="n">
        <v>45706</v>
      </c>
      <c r="C1309" s="3" t="s">
        <v>724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3" t="n">
        <v>1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/>
      <c r="P1309" s="3" t="n">
        <v>70</v>
      </c>
    </row>
    <row r="1310" customFormat="false" ht="15" hidden="false" customHeight="false" outlineLevel="0" collapsed="false">
      <c r="A1310" s="3" t="s">
        <v>1342</v>
      </c>
      <c r="B1310" s="4" t="n">
        <v>45802</v>
      </c>
      <c r="C1310" s="3" t="s">
        <v>724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3" t="n">
        <v>1</v>
      </c>
      <c r="I1310" s="3" t="n">
        <v>1</v>
      </c>
      <c r="J1310" s="3" t="n">
        <v>1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/>
      <c r="P1310" s="3" t="n">
        <v>59.7</v>
      </c>
    </row>
    <row r="1311" customFormat="false" ht="15" hidden="false" customHeight="false" outlineLevel="0" collapsed="false">
      <c r="A1311" s="3" t="s">
        <v>1343</v>
      </c>
      <c r="B1311" s="4" t="n">
        <v>45800</v>
      </c>
      <c r="C1311" s="3" t="s">
        <v>724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3" t="n">
        <v>1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0</v>
      </c>
      <c r="O1311" s="3"/>
      <c r="P1311" s="3" t="n">
        <v>68.8</v>
      </c>
    </row>
    <row r="1312" customFormat="false" ht="15" hidden="false" customHeight="false" outlineLevel="0" collapsed="false">
      <c r="A1312" s="3" t="s">
        <v>1344</v>
      </c>
      <c r="B1312" s="4" t="n">
        <v>45673</v>
      </c>
      <c r="C1312" s="3" t="s">
        <v>724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3" t="n">
        <v>1</v>
      </c>
      <c r="I1312" s="3" t="n">
        <v>1</v>
      </c>
      <c r="J1312" s="3" t="n">
        <v>1</v>
      </c>
      <c r="K1312" s="3" t="n">
        <v>1</v>
      </c>
      <c r="L1312" s="3" t="n">
        <v>428.37</v>
      </c>
      <c r="M1312" s="3" t="n">
        <v>0</v>
      </c>
      <c r="N1312" s="3" t="n">
        <v>0</v>
      </c>
      <c r="O1312" s="3" t="n">
        <v>9</v>
      </c>
      <c r="P1312" s="3" t="n">
        <v>88.3</v>
      </c>
    </row>
    <row r="1313" customFormat="false" ht="15" hidden="false" customHeight="false" outlineLevel="0" collapsed="false">
      <c r="A1313" s="3" t="s">
        <v>1345</v>
      </c>
      <c r="B1313" s="4" t="n">
        <v>45676</v>
      </c>
      <c r="C1313" s="3" t="s">
        <v>724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/>
      <c r="P1313" s="3" t="n">
        <v>83.4</v>
      </c>
    </row>
    <row r="1314" customFormat="false" ht="15" hidden="false" customHeight="false" outlineLevel="0" collapsed="false">
      <c r="A1314" s="3" t="s">
        <v>1346</v>
      </c>
      <c r="B1314" s="4" t="n">
        <v>45795</v>
      </c>
      <c r="C1314" s="3" t="s">
        <v>724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3" t="n">
        <v>0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1</v>
      </c>
      <c r="N1314" s="3" t="n">
        <v>0</v>
      </c>
      <c r="O1314" s="3"/>
      <c r="P1314" s="3" t="n">
        <v>81.6</v>
      </c>
    </row>
    <row r="1315" customFormat="false" ht="15" hidden="false" customHeight="false" outlineLevel="0" collapsed="false">
      <c r="A1315" s="3" t="s">
        <v>1347</v>
      </c>
      <c r="B1315" s="4" t="n">
        <v>45680</v>
      </c>
      <c r="C1315" s="3" t="s">
        <v>724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3" t="n">
        <v>1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/>
      <c r="P1315" s="3" t="n">
        <v>91.6</v>
      </c>
    </row>
    <row r="1316" customFormat="false" ht="15" hidden="false" customHeight="false" outlineLevel="0" collapsed="false">
      <c r="A1316" s="3" t="s">
        <v>1348</v>
      </c>
      <c r="B1316" s="4" t="n">
        <v>45665</v>
      </c>
      <c r="C1316" s="3" t="s">
        <v>724</v>
      </c>
      <c r="D1316" s="3" t="s">
        <v>28</v>
      </c>
      <c r="E1316" s="3" t="s">
        <v>34</v>
      </c>
      <c r="F1316" s="3" t="s">
        <v>156</v>
      </c>
      <c r="G1316" s="3" t="s">
        <v>30</v>
      </c>
      <c r="H1316" s="3" t="n">
        <v>1</v>
      </c>
      <c r="I1316" s="3" t="n">
        <v>1</v>
      </c>
      <c r="J1316" s="3" t="n">
        <v>1</v>
      </c>
      <c r="K1316" s="3" t="n">
        <v>0</v>
      </c>
      <c r="L1316" s="3" t="n">
        <v>0</v>
      </c>
      <c r="M1316" s="3" t="n">
        <v>1</v>
      </c>
      <c r="N1316" s="3" t="n">
        <v>0</v>
      </c>
      <c r="O1316" s="3"/>
      <c r="P1316" s="3" t="n">
        <v>61.5</v>
      </c>
    </row>
    <row r="1317" customFormat="false" ht="15" hidden="false" customHeight="false" outlineLevel="0" collapsed="false">
      <c r="A1317" s="3" t="s">
        <v>1349</v>
      </c>
      <c r="B1317" s="4" t="n">
        <v>45707</v>
      </c>
      <c r="C1317" s="3" t="s">
        <v>724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3" t="n">
        <v>0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0</v>
      </c>
      <c r="O1317" s="3"/>
      <c r="P1317" s="3"/>
    </row>
    <row r="1318" customFormat="false" ht="15" hidden="false" customHeight="false" outlineLevel="0" collapsed="false">
      <c r="A1318" s="3" t="s">
        <v>1350</v>
      </c>
      <c r="B1318" s="4" t="n">
        <v>45698</v>
      </c>
      <c r="C1318" s="3" t="s">
        <v>724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3" t="n">
        <v>1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/>
      <c r="P1318" s="3" t="n">
        <v>32.6</v>
      </c>
    </row>
    <row r="1319" customFormat="false" ht="15" hidden="false" customHeight="false" outlineLevel="0" collapsed="false">
      <c r="A1319" s="3" t="s">
        <v>1351</v>
      </c>
      <c r="B1319" s="4" t="n">
        <v>45760</v>
      </c>
      <c r="C1319" s="3" t="s">
        <v>724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3" t="n">
        <v>1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0</v>
      </c>
      <c r="O1319" s="3"/>
      <c r="P1319" s="3" t="n">
        <v>73.9</v>
      </c>
    </row>
    <row r="1320" customFormat="false" ht="15" hidden="false" customHeight="false" outlineLevel="0" collapsed="false">
      <c r="A1320" s="3" t="s">
        <v>1352</v>
      </c>
      <c r="B1320" s="4" t="n">
        <v>45797</v>
      </c>
      <c r="C1320" s="3" t="s">
        <v>724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3" t="n">
        <v>1</v>
      </c>
      <c r="I1320" s="3" t="n">
        <v>1</v>
      </c>
      <c r="J1320" s="3" t="n">
        <v>1</v>
      </c>
      <c r="K1320" s="3" t="n">
        <v>1</v>
      </c>
      <c r="L1320" s="3" t="n">
        <v>444.06</v>
      </c>
      <c r="M1320" s="3" t="n">
        <v>0</v>
      </c>
      <c r="N1320" s="3" t="n">
        <v>0</v>
      </c>
      <c r="O1320" s="3" t="n">
        <v>9</v>
      </c>
      <c r="P1320" s="3" t="n">
        <v>99.9</v>
      </c>
    </row>
    <row r="1321" customFormat="false" ht="15" hidden="false" customHeight="false" outlineLevel="0" collapsed="false">
      <c r="A1321" s="3" t="s">
        <v>1353</v>
      </c>
      <c r="B1321" s="4" t="n">
        <v>45790</v>
      </c>
      <c r="C1321" s="3" t="s">
        <v>724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3" t="n">
        <v>1</v>
      </c>
      <c r="I1321" s="3" t="n">
        <v>1</v>
      </c>
      <c r="J1321" s="3" t="n">
        <v>0</v>
      </c>
      <c r="K1321" s="3" t="n">
        <v>0</v>
      </c>
      <c r="L1321" s="3" t="n">
        <v>0</v>
      </c>
      <c r="M1321" s="3" t="n">
        <v>1</v>
      </c>
      <c r="N1321" s="3" t="n">
        <v>0</v>
      </c>
      <c r="O1321" s="3"/>
      <c r="P1321" s="3" t="n">
        <v>62.4</v>
      </c>
    </row>
    <row r="1322" customFormat="false" ht="15" hidden="false" customHeight="false" outlineLevel="0" collapsed="false">
      <c r="A1322" s="3" t="s">
        <v>1354</v>
      </c>
      <c r="B1322" s="4" t="n">
        <v>45805</v>
      </c>
      <c r="C1322" s="3" t="s">
        <v>724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3" t="n">
        <v>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0</v>
      </c>
      <c r="O1322" s="3"/>
      <c r="P1322" s="3" t="n">
        <v>46.1</v>
      </c>
    </row>
    <row r="1323" customFormat="false" ht="15" hidden="false" customHeight="false" outlineLevel="0" collapsed="false">
      <c r="A1323" s="3" t="s">
        <v>1355</v>
      </c>
      <c r="B1323" s="4" t="n">
        <v>45735</v>
      </c>
      <c r="C1323" s="3" t="s">
        <v>724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3" t="n">
        <v>1</v>
      </c>
      <c r="I1323" s="3" t="n">
        <v>1</v>
      </c>
      <c r="J1323" s="3" t="n">
        <v>1</v>
      </c>
      <c r="K1323" s="3" t="n">
        <v>1</v>
      </c>
      <c r="L1323" s="3" t="n">
        <v>2660.21</v>
      </c>
      <c r="M1323" s="3" t="n">
        <v>0</v>
      </c>
      <c r="N1323" s="3" t="n">
        <v>0</v>
      </c>
      <c r="O1323" s="3" t="n">
        <v>3</v>
      </c>
      <c r="P1323" s="3" t="n">
        <v>73.9</v>
      </c>
    </row>
    <row r="1324" customFormat="false" ht="15" hidden="false" customHeight="false" outlineLevel="0" collapsed="false">
      <c r="A1324" s="3" t="s">
        <v>1356</v>
      </c>
      <c r="B1324" s="4" t="n">
        <v>45691</v>
      </c>
      <c r="C1324" s="3" t="s">
        <v>724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/>
      <c r="P1324" s="3" t="n">
        <v>90</v>
      </c>
    </row>
    <row r="1325" customFormat="false" ht="15" hidden="false" customHeight="false" outlineLevel="0" collapsed="false">
      <c r="A1325" s="3" t="s">
        <v>1357</v>
      </c>
      <c r="B1325" s="4" t="n">
        <v>45714</v>
      </c>
      <c r="C1325" s="3" t="s">
        <v>724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3" t="n">
        <v>1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1</v>
      </c>
      <c r="N1325" s="3" t="n">
        <v>0</v>
      </c>
      <c r="O1325" s="3"/>
      <c r="P1325" s="3" t="n">
        <v>68.8</v>
      </c>
    </row>
    <row r="1326" customFormat="false" ht="15" hidden="false" customHeight="false" outlineLevel="0" collapsed="false">
      <c r="A1326" s="3" t="s">
        <v>1358</v>
      </c>
      <c r="B1326" s="4" t="n">
        <v>45683</v>
      </c>
      <c r="C1326" s="3" t="s">
        <v>724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3" t="n">
        <v>1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0</v>
      </c>
      <c r="O1326" s="3"/>
      <c r="P1326" s="3" t="n">
        <v>66.6</v>
      </c>
    </row>
    <row r="1327" customFormat="false" ht="15" hidden="false" customHeight="false" outlineLevel="0" collapsed="false">
      <c r="A1327" s="3" t="s">
        <v>1359</v>
      </c>
      <c r="B1327" s="4" t="n">
        <v>45790</v>
      </c>
      <c r="C1327" s="3" t="s">
        <v>724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3" t="n">
        <v>1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/>
      <c r="P1327" s="3" t="n">
        <v>49.7</v>
      </c>
    </row>
    <row r="1328" customFormat="false" ht="15" hidden="false" customHeight="false" outlineLevel="0" collapsed="false">
      <c r="A1328" s="3" t="s">
        <v>1360</v>
      </c>
      <c r="B1328" s="4" t="n">
        <v>45690</v>
      </c>
      <c r="C1328" s="3" t="s">
        <v>724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3" t="n">
        <v>0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0</v>
      </c>
      <c r="O1328" s="3"/>
      <c r="P1328" s="3" t="n">
        <v>67.9</v>
      </c>
    </row>
    <row r="1329" customFormat="false" ht="15" hidden="false" customHeight="false" outlineLevel="0" collapsed="false">
      <c r="A1329" s="3" t="s">
        <v>1361</v>
      </c>
      <c r="B1329" s="4" t="n">
        <v>45777</v>
      </c>
      <c r="C1329" s="3" t="s">
        <v>724</v>
      </c>
      <c r="D1329" s="3" t="s">
        <v>23</v>
      </c>
      <c r="E1329" s="3" t="s">
        <v>24</v>
      </c>
      <c r="F1329" s="3" t="s">
        <v>156</v>
      </c>
      <c r="G1329" s="3" t="s">
        <v>21</v>
      </c>
      <c r="H1329" s="3" t="n">
        <v>0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0</v>
      </c>
      <c r="O1329" s="3"/>
      <c r="P1329" s="3" t="n">
        <v>66.9</v>
      </c>
    </row>
    <row r="1330" customFormat="false" ht="15" hidden="false" customHeight="false" outlineLevel="0" collapsed="false">
      <c r="A1330" s="3" t="s">
        <v>1362</v>
      </c>
      <c r="B1330" s="4" t="n">
        <v>45745</v>
      </c>
      <c r="C1330" s="3" t="s">
        <v>724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3" t="n">
        <v>0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0</v>
      </c>
      <c r="O1330" s="3"/>
      <c r="P1330" s="3" t="n">
        <v>46.1</v>
      </c>
    </row>
    <row r="1331" customFormat="false" ht="15" hidden="false" customHeight="false" outlineLevel="0" collapsed="false">
      <c r="A1331" s="3" t="s">
        <v>1363</v>
      </c>
      <c r="B1331" s="4" t="n">
        <v>45756</v>
      </c>
      <c r="C1331" s="3" t="s">
        <v>724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3" t="n">
        <v>1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0</v>
      </c>
      <c r="O1331" s="3"/>
      <c r="P1331" s="3" t="n">
        <v>85.6</v>
      </c>
    </row>
    <row r="1332" customFormat="false" ht="15" hidden="false" customHeight="false" outlineLevel="0" collapsed="false">
      <c r="A1332" s="3" t="s">
        <v>1364</v>
      </c>
      <c r="B1332" s="4" t="n">
        <v>45679</v>
      </c>
      <c r="C1332" s="3" t="s">
        <v>724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3" t="n">
        <v>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0</v>
      </c>
      <c r="O1332" s="3"/>
      <c r="P1332" s="3" t="n">
        <v>39.6</v>
      </c>
    </row>
    <row r="1333" customFormat="false" ht="15" hidden="false" customHeight="false" outlineLevel="0" collapsed="false">
      <c r="A1333" s="3" t="s">
        <v>1365</v>
      </c>
      <c r="B1333" s="4" t="n">
        <v>45684</v>
      </c>
      <c r="C1333" s="3" t="s">
        <v>724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3" t="n">
        <v>1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/>
      <c r="P1333" s="3" t="n">
        <v>52.5</v>
      </c>
    </row>
    <row r="1334" customFormat="false" ht="15" hidden="false" customHeight="false" outlineLevel="0" collapsed="false">
      <c r="A1334" s="3" t="s">
        <v>1366</v>
      </c>
      <c r="B1334" s="4" t="n">
        <v>45679</v>
      </c>
      <c r="C1334" s="3" t="s">
        <v>724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3" t="n">
        <v>1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0</v>
      </c>
      <c r="O1334" s="3"/>
      <c r="P1334" s="3" t="n">
        <v>73.5</v>
      </c>
    </row>
    <row r="1335" customFormat="false" ht="15" hidden="false" customHeight="false" outlineLevel="0" collapsed="false">
      <c r="A1335" s="3" t="s">
        <v>1367</v>
      </c>
      <c r="B1335" s="4" t="n">
        <v>45663</v>
      </c>
      <c r="C1335" s="3" t="s">
        <v>724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3" t="n">
        <v>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0</v>
      </c>
      <c r="O1335" s="3"/>
      <c r="P1335" s="3" t="n">
        <v>62.5</v>
      </c>
    </row>
    <row r="1336" customFormat="false" ht="15" hidden="false" customHeight="false" outlineLevel="0" collapsed="false">
      <c r="A1336" s="3" t="s">
        <v>1368</v>
      </c>
      <c r="B1336" s="4" t="n">
        <v>45763</v>
      </c>
      <c r="C1336" s="3" t="s">
        <v>724</v>
      </c>
      <c r="D1336" s="3" t="s">
        <v>32</v>
      </c>
      <c r="E1336" s="3" t="s">
        <v>156</v>
      </c>
      <c r="F1336" s="3" t="s">
        <v>25</v>
      </c>
      <c r="G1336" s="3" t="s">
        <v>26</v>
      </c>
      <c r="H1336" s="3" t="n">
        <v>1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0</v>
      </c>
      <c r="O1336" s="3"/>
      <c r="P1336" s="3" t="n">
        <v>76.9</v>
      </c>
    </row>
    <row r="1337" customFormat="false" ht="15" hidden="false" customHeight="false" outlineLevel="0" collapsed="false">
      <c r="A1337" s="3" t="s">
        <v>1369</v>
      </c>
      <c r="B1337" s="4" t="n">
        <v>45761</v>
      </c>
      <c r="C1337" s="3" t="s">
        <v>724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3" t="n">
        <v>1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0</v>
      </c>
      <c r="O1337" s="3"/>
      <c r="P1337" s="3" t="n">
        <v>51.4</v>
      </c>
    </row>
    <row r="1338" customFormat="false" ht="15" hidden="false" customHeight="false" outlineLevel="0" collapsed="false">
      <c r="A1338" s="3" t="s">
        <v>1370</v>
      </c>
      <c r="B1338" s="4" t="n">
        <v>45710</v>
      </c>
      <c r="C1338" s="3" t="s">
        <v>724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3" t="n">
        <v>1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0</v>
      </c>
      <c r="O1338" s="3"/>
      <c r="P1338" s="3" t="n">
        <v>59.3</v>
      </c>
    </row>
    <row r="1339" customFormat="false" ht="15" hidden="false" customHeight="false" outlineLevel="0" collapsed="false">
      <c r="A1339" s="3" t="s">
        <v>1371</v>
      </c>
      <c r="B1339" s="4" t="n">
        <v>45725</v>
      </c>
      <c r="C1339" s="3" t="s">
        <v>724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3" t="n">
        <v>0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0</v>
      </c>
      <c r="O1339" s="3"/>
      <c r="P1339" s="3" t="n">
        <v>74.9</v>
      </c>
    </row>
    <row r="1340" customFormat="false" ht="15" hidden="false" customHeight="false" outlineLevel="0" collapsed="false">
      <c r="A1340" s="3" t="s">
        <v>1372</v>
      </c>
      <c r="B1340" s="4" t="n">
        <v>45767</v>
      </c>
      <c r="C1340" s="3" t="s">
        <v>724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3" t="n">
        <v>1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0</v>
      </c>
      <c r="O1340" s="3"/>
      <c r="P1340" s="3" t="n">
        <v>67</v>
      </c>
    </row>
    <row r="1341" customFormat="false" ht="15" hidden="false" customHeight="false" outlineLevel="0" collapsed="false">
      <c r="A1341" s="3" t="s">
        <v>1373</v>
      </c>
      <c r="B1341" s="4" t="n">
        <v>45726</v>
      </c>
      <c r="C1341" s="3" t="s">
        <v>724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0</v>
      </c>
      <c r="O1341" s="3"/>
      <c r="P1341" s="3" t="n">
        <v>63.6</v>
      </c>
    </row>
    <row r="1342" customFormat="false" ht="15" hidden="false" customHeight="false" outlineLevel="0" collapsed="false">
      <c r="A1342" s="3" t="s">
        <v>1374</v>
      </c>
      <c r="B1342" s="4" t="n">
        <v>45709</v>
      </c>
      <c r="C1342" s="3" t="s">
        <v>724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3" t="n">
        <v>1</v>
      </c>
      <c r="I1342" s="3" t="n">
        <v>1</v>
      </c>
      <c r="J1342" s="3" t="n">
        <v>0</v>
      </c>
      <c r="K1342" s="3" t="n">
        <v>0</v>
      </c>
      <c r="L1342" s="3" t="n">
        <v>0</v>
      </c>
      <c r="M1342" s="3" t="n">
        <v>1</v>
      </c>
      <c r="N1342" s="3" t="n">
        <v>0</v>
      </c>
      <c r="O1342" s="3"/>
      <c r="P1342" s="3" t="n">
        <v>58.4</v>
      </c>
    </row>
    <row r="1343" customFormat="false" ht="15" hidden="false" customHeight="false" outlineLevel="0" collapsed="false">
      <c r="A1343" s="3" t="s">
        <v>1375</v>
      </c>
      <c r="B1343" s="4" t="n">
        <v>45663</v>
      </c>
      <c r="C1343" s="3" t="s">
        <v>724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3" t="n">
        <v>1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0</v>
      </c>
      <c r="O1343" s="3"/>
      <c r="P1343" s="3" t="n">
        <v>36.8</v>
      </c>
    </row>
    <row r="1344" customFormat="false" ht="15" hidden="false" customHeight="false" outlineLevel="0" collapsed="false">
      <c r="A1344" s="3" t="s">
        <v>1376</v>
      </c>
      <c r="B1344" s="4" t="n">
        <v>45764</v>
      </c>
      <c r="C1344" s="3" t="s">
        <v>724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3" t="n">
        <v>1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0</v>
      </c>
      <c r="O1344" s="3"/>
      <c r="P1344" s="3" t="n">
        <v>71.6</v>
      </c>
    </row>
    <row r="1345" customFormat="false" ht="15" hidden="false" customHeight="false" outlineLevel="0" collapsed="false">
      <c r="A1345" s="3" t="s">
        <v>1377</v>
      </c>
      <c r="B1345" s="4" t="n">
        <v>45800</v>
      </c>
      <c r="C1345" s="3" t="s">
        <v>724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3" t="n">
        <v>1</v>
      </c>
      <c r="I1345" s="3" t="n">
        <v>1</v>
      </c>
      <c r="J1345" s="3" t="n">
        <v>0</v>
      </c>
      <c r="K1345" s="3" t="n">
        <v>0</v>
      </c>
      <c r="L1345" s="3" t="n">
        <v>0</v>
      </c>
      <c r="M1345" s="3" t="n">
        <v>1</v>
      </c>
      <c r="N1345" s="3" t="n">
        <v>0</v>
      </c>
      <c r="O1345" s="3"/>
      <c r="P1345" s="3" t="n">
        <v>79.7</v>
      </c>
    </row>
    <row r="1346" customFormat="false" ht="15" hidden="false" customHeight="false" outlineLevel="0" collapsed="false">
      <c r="A1346" s="3" t="s">
        <v>1378</v>
      </c>
      <c r="B1346" s="4" t="n">
        <v>45730</v>
      </c>
      <c r="C1346" s="3" t="s">
        <v>724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3" t="n">
        <v>1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1</v>
      </c>
      <c r="N1346" s="3" t="n">
        <v>0</v>
      </c>
      <c r="O1346" s="3"/>
      <c r="P1346" s="3" t="n">
        <v>56.5</v>
      </c>
    </row>
    <row r="1347" customFormat="false" ht="15" hidden="false" customHeight="false" outlineLevel="0" collapsed="false">
      <c r="A1347" s="3" t="s">
        <v>1379</v>
      </c>
      <c r="B1347" s="4" t="n">
        <v>45768</v>
      </c>
      <c r="C1347" s="3" t="s">
        <v>724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3" t="n">
        <v>1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0</v>
      </c>
      <c r="O1347" s="3"/>
      <c r="P1347" s="3" t="n">
        <v>44.7</v>
      </c>
    </row>
    <row r="1348" customFormat="false" ht="15" hidden="false" customHeight="false" outlineLevel="0" collapsed="false">
      <c r="A1348" s="3" t="s">
        <v>1380</v>
      </c>
      <c r="B1348" s="4" t="n">
        <v>45660</v>
      </c>
      <c r="C1348" s="3" t="s">
        <v>724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3" t="n">
        <v>1</v>
      </c>
      <c r="I1348" s="3" t="n">
        <v>1</v>
      </c>
      <c r="J1348" s="3" t="n">
        <v>1</v>
      </c>
      <c r="K1348" s="3" t="n">
        <v>0</v>
      </c>
      <c r="L1348" s="3" t="n">
        <v>0</v>
      </c>
      <c r="M1348" s="3" t="n">
        <v>1</v>
      </c>
      <c r="N1348" s="3" t="n">
        <v>0</v>
      </c>
      <c r="O1348" s="3"/>
      <c r="P1348" s="3" t="n">
        <v>66</v>
      </c>
    </row>
    <row r="1349" customFormat="false" ht="15" hidden="false" customHeight="false" outlineLevel="0" collapsed="false">
      <c r="A1349" s="3" t="s">
        <v>1381</v>
      </c>
      <c r="B1349" s="4" t="n">
        <v>45786</v>
      </c>
      <c r="C1349" s="3" t="s">
        <v>724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3" t="n">
        <v>1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0</v>
      </c>
      <c r="O1349" s="3"/>
      <c r="P1349" s="3" t="n">
        <v>73</v>
      </c>
    </row>
    <row r="1350" customFormat="false" ht="15" hidden="false" customHeight="false" outlineLevel="0" collapsed="false">
      <c r="A1350" s="3" t="s">
        <v>1382</v>
      </c>
      <c r="B1350" s="4" t="n">
        <v>45799</v>
      </c>
      <c r="C1350" s="3" t="s">
        <v>724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3" t="n">
        <v>1</v>
      </c>
      <c r="I1350" s="3" t="n">
        <v>1</v>
      </c>
      <c r="J1350" s="3" t="n">
        <v>1</v>
      </c>
      <c r="K1350" s="3" t="n">
        <v>0</v>
      </c>
      <c r="L1350" s="3" t="n">
        <v>0</v>
      </c>
      <c r="M1350" s="3" t="n">
        <v>1</v>
      </c>
      <c r="N1350" s="3" t="n">
        <v>0</v>
      </c>
      <c r="O1350" s="3"/>
      <c r="P1350" s="3" t="n">
        <v>72.5</v>
      </c>
    </row>
    <row r="1351" customFormat="false" ht="15" hidden="false" customHeight="false" outlineLevel="0" collapsed="false">
      <c r="A1351" s="3" t="s">
        <v>1383</v>
      </c>
      <c r="B1351" s="4" t="n">
        <v>45784</v>
      </c>
      <c r="C1351" s="3" t="s">
        <v>724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3" t="n">
        <v>1</v>
      </c>
      <c r="I1351" s="3" t="n">
        <v>1</v>
      </c>
      <c r="J1351" s="3" t="n">
        <v>1</v>
      </c>
      <c r="K1351" s="3" t="n">
        <v>1</v>
      </c>
      <c r="L1351" s="3" t="n">
        <v>323.6</v>
      </c>
      <c r="M1351" s="3" t="n">
        <v>0</v>
      </c>
      <c r="N1351" s="3" t="n">
        <v>0</v>
      </c>
      <c r="O1351" s="3" t="n">
        <v>6</v>
      </c>
      <c r="P1351" s="3" t="n">
        <v>100</v>
      </c>
    </row>
    <row r="1352" customFormat="false" ht="15" hidden="false" customHeight="false" outlineLevel="0" collapsed="false">
      <c r="A1352" s="3" t="s">
        <v>1384</v>
      </c>
      <c r="B1352" s="4" t="n">
        <v>45696</v>
      </c>
      <c r="C1352" s="3" t="s">
        <v>724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3" t="n">
        <v>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1</v>
      </c>
      <c r="N1352" s="3" t="n">
        <v>0</v>
      </c>
      <c r="O1352" s="3"/>
      <c r="P1352" s="3" t="n">
        <v>90.5</v>
      </c>
    </row>
    <row r="1353" customFormat="false" ht="15" hidden="false" customHeight="false" outlineLevel="0" collapsed="false">
      <c r="A1353" s="3" t="s">
        <v>1385</v>
      </c>
      <c r="B1353" s="4" t="n">
        <v>45750</v>
      </c>
      <c r="C1353" s="3" t="s">
        <v>724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3" t="n">
        <v>1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/>
      <c r="P1353" s="3" t="n">
        <v>70.2</v>
      </c>
    </row>
    <row r="1354" customFormat="false" ht="15" hidden="false" customHeight="false" outlineLevel="0" collapsed="false">
      <c r="A1354" s="3" t="s">
        <v>1386</v>
      </c>
      <c r="B1354" s="4" t="n">
        <v>45764</v>
      </c>
      <c r="C1354" s="3" t="s">
        <v>724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3" t="n">
        <v>1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1</v>
      </c>
      <c r="N1354" s="3" t="n">
        <v>0</v>
      </c>
      <c r="O1354" s="3"/>
      <c r="P1354" s="3" t="n">
        <v>67.1</v>
      </c>
    </row>
    <row r="1355" customFormat="false" ht="15" hidden="false" customHeight="false" outlineLevel="0" collapsed="false">
      <c r="A1355" s="3" t="s">
        <v>1387</v>
      </c>
      <c r="B1355" s="4" t="n">
        <v>45781</v>
      </c>
      <c r="C1355" s="3" t="s">
        <v>724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3" t="n">
        <v>0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0</v>
      </c>
      <c r="O1355" s="3"/>
      <c r="P1355" s="3" t="n">
        <v>54.5</v>
      </c>
    </row>
    <row r="1356" customFormat="false" ht="15" hidden="false" customHeight="false" outlineLevel="0" collapsed="false">
      <c r="A1356" s="3" t="s">
        <v>1388</v>
      </c>
      <c r="B1356" s="4" t="n">
        <v>45788</v>
      </c>
      <c r="C1356" s="3" t="s">
        <v>724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3" t="n">
        <v>1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0</v>
      </c>
      <c r="O1356" s="3"/>
      <c r="P1356" s="3" t="n">
        <v>63.4</v>
      </c>
    </row>
    <row r="1357" customFormat="false" ht="15" hidden="false" customHeight="false" outlineLevel="0" collapsed="false">
      <c r="A1357" s="3" t="s">
        <v>1389</v>
      </c>
      <c r="B1357" s="4" t="n">
        <v>45717</v>
      </c>
      <c r="C1357" s="3" t="s">
        <v>724</v>
      </c>
      <c r="D1357" s="3" t="s">
        <v>18</v>
      </c>
      <c r="E1357" s="3" t="s">
        <v>19</v>
      </c>
      <c r="F1357" s="3" t="s">
        <v>156</v>
      </c>
      <c r="G1357" s="3" t="s">
        <v>26</v>
      </c>
      <c r="H1357" s="3" t="n">
        <v>1</v>
      </c>
      <c r="I1357" s="3" t="n">
        <v>1</v>
      </c>
      <c r="J1357" s="3" t="n">
        <v>1</v>
      </c>
      <c r="K1357" s="3" t="n">
        <v>0</v>
      </c>
      <c r="L1357" s="3" t="n">
        <v>0</v>
      </c>
      <c r="M1357" s="3" t="n">
        <v>0</v>
      </c>
      <c r="N1357" s="3" t="n">
        <v>0</v>
      </c>
      <c r="O1357" s="3"/>
      <c r="P1357" s="3" t="n">
        <v>84.3</v>
      </c>
    </row>
    <row r="1358" customFormat="false" ht="15" hidden="false" customHeight="false" outlineLevel="0" collapsed="false">
      <c r="A1358" s="3" t="s">
        <v>1390</v>
      </c>
      <c r="B1358" s="4" t="n">
        <v>45708</v>
      </c>
      <c r="C1358" s="3" t="s">
        <v>724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3" t="n">
        <v>1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1</v>
      </c>
      <c r="N1358" s="3" t="n">
        <v>0</v>
      </c>
      <c r="O1358" s="3"/>
      <c r="P1358" s="3" t="n">
        <v>55</v>
      </c>
    </row>
    <row r="1359" customFormat="false" ht="15" hidden="false" customHeight="false" outlineLevel="0" collapsed="false">
      <c r="A1359" s="3" t="s">
        <v>1391</v>
      </c>
      <c r="B1359" s="4" t="n">
        <v>45786</v>
      </c>
      <c r="C1359" s="3" t="s">
        <v>724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3" t="n">
        <v>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0</v>
      </c>
      <c r="O1359" s="3"/>
      <c r="P1359" s="3" t="n">
        <v>63.6</v>
      </c>
    </row>
    <row r="1360" customFormat="false" ht="15" hidden="false" customHeight="false" outlineLevel="0" collapsed="false">
      <c r="A1360" s="3" t="s">
        <v>1392</v>
      </c>
      <c r="B1360" s="4" t="n">
        <v>45777</v>
      </c>
      <c r="C1360" s="3" t="s">
        <v>724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3" t="n">
        <v>1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0</v>
      </c>
      <c r="O1360" s="3"/>
      <c r="P1360" s="3" t="n">
        <v>55.5</v>
      </c>
    </row>
    <row r="1361" customFormat="false" ht="15" hidden="false" customHeight="false" outlineLevel="0" collapsed="false">
      <c r="A1361" s="3" t="s">
        <v>1393</v>
      </c>
      <c r="B1361" s="4" t="n">
        <v>45664</v>
      </c>
      <c r="C1361" s="3" t="s">
        <v>724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0</v>
      </c>
      <c r="O1361" s="3"/>
      <c r="P1361" s="3" t="n">
        <v>50.5</v>
      </c>
    </row>
    <row r="1362" customFormat="false" ht="15" hidden="false" customHeight="false" outlineLevel="0" collapsed="false">
      <c r="A1362" s="3" t="s">
        <v>1394</v>
      </c>
      <c r="B1362" s="4" t="n">
        <v>45777</v>
      </c>
      <c r="C1362" s="3" t="s">
        <v>724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3" t="n">
        <v>1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0</v>
      </c>
      <c r="O1362" s="3"/>
      <c r="P1362" s="3" t="n">
        <v>45.3</v>
      </c>
    </row>
    <row r="1363" customFormat="false" ht="15" hidden="false" customHeight="false" outlineLevel="0" collapsed="false">
      <c r="A1363" s="3" t="s">
        <v>1395</v>
      </c>
      <c r="B1363" s="4" t="n">
        <v>45800</v>
      </c>
      <c r="C1363" s="3" t="s">
        <v>724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3" t="n">
        <v>1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0</v>
      </c>
      <c r="O1363" s="3"/>
      <c r="P1363" s="3" t="n">
        <v>33.6</v>
      </c>
    </row>
    <row r="1364" customFormat="false" ht="15" hidden="false" customHeight="false" outlineLevel="0" collapsed="false">
      <c r="A1364" s="3" t="s">
        <v>1396</v>
      </c>
      <c r="B1364" s="4" t="n">
        <v>45728</v>
      </c>
      <c r="C1364" s="3" t="s">
        <v>724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3" t="n">
        <v>1</v>
      </c>
      <c r="I1364" s="3" t="n">
        <v>1</v>
      </c>
      <c r="J1364" s="3" t="n">
        <v>1</v>
      </c>
      <c r="K1364" s="3" t="n">
        <v>0</v>
      </c>
      <c r="L1364" s="3" t="n">
        <v>0</v>
      </c>
      <c r="M1364" s="3" t="n">
        <v>0</v>
      </c>
      <c r="N1364" s="3" t="n">
        <v>0</v>
      </c>
      <c r="O1364" s="3"/>
      <c r="P1364" s="3" t="n">
        <v>88.2</v>
      </c>
    </row>
    <row r="1365" customFormat="false" ht="15" hidden="false" customHeight="false" outlineLevel="0" collapsed="false">
      <c r="A1365" s="3" t="s">
        <v>1397</v>
      </c>
      <c r="B1365" s="4" t="n">
        <v>45705</v>
      </c>
      <c r="C1365" s="3" t="s">
        <v>724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3" t="n">
        <v>1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0</v>
      </c>
      <c r="O1365" s="3"/>
      <c r="P1365" s="3" t="n">
        <v>51.8</v>
      </c>
    </row>
    <row r="1366" customFormat="false" ht="15" hidden="false" customHeight="false" outlineLevel="0" collapsed="false">
      <c r="A1366" s="3" t="s">
        <v>1398</v>
      </c>
      <c r="B1366" s="4" t="n">
        <v>45804</v>
      </c>
      <c r="C1366" s="3" t="s">
        <v>724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3" t="n">
        <v>0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0</v>
      </c>
      <c r="O1366" s="3"/>
      <c r="P1366" s="3" t="n">
        <v>87.9</v>
      </c>
    </row>
    <row r="1367" customFormat="false" ht="15" hidden="false" customHeight="false" outlineLevel="0" collapsed="false">
      <c r="A1367" s="3" t="s">
        <v>1399</v>
      </c>
      <c r="B1367" s="4" t="n">
        <v>45787</v>
      </c>
      <c r="C1367" s="3" t="s">
        <v>724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3" t="n">
        <v>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2</v>
      </c>
      <c r="N1367" s="3" t="n">
        <v>0</v>
      </c>
      <c r="O1367" s="3"/>
      <c r="P1367" s="3" t="n">
        <v>70.5</v>
      </c>
    </row>
    <row r="1368" customFormat="false" ht="15" hidden="false" customHeight="false" outlineLevel="0" collapsed="false">
      <c r="A1368" s="3" t="s">
        <v>1400</v>
      </c>
      <c r="B1368" s="4" t="n">
        <v>45677</v>
      </c>
      <c r="C1368" s="3" t="s">
        <v>724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3" t="n">
        <v>1</v>
      </c>
      <c r="I1368" s="3" t="n">
        <v>1</v>
      </c>
      <c r="J1368" s="3" t="n">
        <v>0</v>
      </c>
      <c r="K1368" s="3" t="n">
        <v>0</v>
      </c>
      <c r="L1368" s="3" t="n">
        <v>0</v>
      </c>
      <c r="M1368" s="3" t="n">
        <v>2</v>
      </c>
      <c r="N1368" s="3" t="n">
        <v>0</v>
      </c>
      <c r="O1368" s="3"/>
      <c r="P1368" s="3" t="n">
        <v>58.5</v>
      </c>
    </row>
    <row r="1369" customFormat="false" ht="15" hidden="false" customHeight="false" outlineLevel="0" collapsed="false">
      <c r="A1369" s="3" t="s">
        <v>1401</v>
      </c>
      <c r="B1369" s="4" t="n">
        <v>45676</v>
      </c>
      <c r="C1369" s="3" t="s">
        <v>724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3" t="n">
        <v>1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0</v>
      </c>
      <c r="O1369" s="3"/>
      <c r="P1369" s="3" t="n">
        <v>65.6</v>
      </c>
    </row>
    <row r="1370" customFormat="false" ht="15" hidden="false" customHeight="false" outlineLevel="0" collapsed="false">
      <c r="A1370" s="3" t="s">
        <v>1402</v>
      </c>
      <c r="B1370" s="4" t="n">
        <v>45723</v>
      </c>
      <c r="C1370" s="3" t="s">
        <v>724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3" t="n">
        <v>1</v>
      </c>
      <c r="I1370" s="3" t="n">
        <v>1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0</v>
      </c>
      <c r="O1370" s="3"/>
      <c r="P1370" s="3" t="n">
        <v>62.7</v>
      </c>
    </row>
    <row r="1371" customFormat="false" ht="15" hidden="false" customHeight="false" outlineLevel="0" collapsed="false">
      <c r="A1371" s="3" t="s">
        <v>1403</v>
      </c>
      <c r="B1371" s="4" t="n">
        <v>45690</v>
      </c>
      <c r="C1371" s="3" t="s">
        <v>724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1</v>
      </c>
      <c r="N1371" s="3" t="n">
        <v>0</v>
      </c>
      <c r="O1371" s="3"/>
      <c r="P1371" s="3" t="n">
        <v>50.9</v>
      </c>
    </row>
    <row r="1372" customFormat="false" ht="15" hidden="false" customHeight="false" outlineLevel="0" collapsed="false">
      <c r="A1372" s="3" t="s">
        <v>1404</v>
      </c>
      <c r="B1372" s="4" t="n">
        <v>45723</v>
      </c>
      <c r="C1372" s="3" t="s">
        <v>724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3" t="n">
        <v>0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1</v>
      </c>
      <c r="N1372" s="3" t="n">
        <v>0</v>
      </c>
      <c r="O1372" s="3"/>
      <c r="P1372" s="3" t="n">
        <v>60.6</v>
      </c>
    </row>
    <row r="1373" customFormat="false" ht="15" hidden="false" customHeight="false" outlineLevel="0" collapsed="false">
      <c r="A1373" s="3" t="s">
        <v>1405</v>
      </c>
      <c r="B1373" s="4" t="n">
        <v>45746</v>
      </c>
      <c r="C1373" s="3" t="s">
        <v>724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3" t="n">
        <v>1</v>
      </c>
      <c r="I1373" s="3" t="n">
        <v>1</v>
      </c>
      <c r="J1373" s="3" t="n">
        <v>1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/>
      <c r="P1373" s="3" t="n">
        <v>76.6</v>
      </c>
    </row>
    <row r="1374" customFormat="false" ht="15" hidden="false" customHeight="false" outlineLevel="0" collapsed="false">
      <c r="A1374" s="3" t="s">
        <v>1406</v>
      </c>
      <c r="B1374" s="4" t="n">
        <v>45782</v>
      </c>
      <c r="C1374" s="3" t="s">
        <v>724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3" t="n">
        <v>1</v>
      </c>
      <c r="I1374" s="3" t="n">
        <v>1</v>
      </c>
      <c r="J1374" s="3" t="n">
        <v>1</v>
      </c>
      <c r="K1374" s="3" t="n">
        <v>0</v>
      </c>
      <c r="L1374" s="3" t="n">
        <v>0</v>
      </c>
      <c r="M1374" s="3" t="n">
        <v>0</v>
      </c>
      <c r="N1374" s="3" t="n">
        <v>0</v>
      </c>
      <c r="O1374" s="3"/>
      <c r="P1374" s="3" t="n">
        <v>54.4</v>
      </c>
    </row>
    <row r="1375" customFormat="false" ht="15" hidden="false" customHeight="false" outlineLevel="0" collapsed="false">
      <c r="A1375" s="3" t="s">
        <v>1407</v>
      </c>
      <c r="B1375" s="4" t="n">
        <v>45758</v>
      </c>
      <c r="C1375" s="3" t="s">
        <v>724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3" t="n">
        <v>1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0</v>
      </c>
      <c r="O1375" s="3"/>
      <c r="P1375" s="3" t="n">
        <v>31.2</v>
      </c>
    </row>
    <row r="1376" customFormat="false" ht="15" hidden="false" customHeight="false" outlineLevel="0" collapsed="false">
      <c r="A1376" s="3" t="s">
        <v>1408</v>
      </c>
      <c r="B1376" s="4" t="n">
        <v>45741</v>
      </c>
      <c r="C1376" s="3" t="s">
        <v>724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3" t="n">
        <v>1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0</v>
      </c>
      <c r="O1376" s="3"/>
      <c r="P1376" s="3" t="n">
        <v>72.4</v>
      </c>
    </row>
    <row r="1377" customFormat="false" ht="15" hidden="false" customHeight="false" outlineLevel="0" collapsed="false">
      <c r="A1377" s="3" t="s">
        <v>1409</v>
      </c>
      <c r="B1377" s="4" t="n">
        <v>45740</v>
      </c>
      <c r="C1377" s="3" t="s">
        <v>724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3" t="n">
        <v>1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0</v>
      </c>
      <c r="O1377" s="3"/>
      <c r="P1377" s="3" t="n">
        <v>74.5</v>
      </c>
    </row>
    <row r="1378" customFormat="false" ht="15" hidden="false" customHeight="false" outlineLevel="0" collapsed="false">
      <c r="A1378" s="3" t="s">
        <v>1410</v>
      </c>
      <c r="B1378" s="4" t="n">
        <v>45774</v>
      </c>
      <c r="C1378" s="3" t="s">
        <v>724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/>
      <c r="P1378" s="3" t="n">
        <v>52.6</v>
      </c>
    </row>
    <row r="1379" customFormat="false" ht="15" hidden="false" customHeight="false" outlineLevel="0" collapsed="false">
      <c r="A1379" s="3" t="s">
        <v>1411</v>
      </c>
      <c r="B1379" s="4" t="n">
        <v>45682</v>
      </c>
      <c r="C1379" s="3" t="s">
        <v>724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3" t="n">
        <v>1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/>
      <c r="P1379" s="3" t="n">
        <v>75.4</v>
      </c>
    </row>
    <row r="1380" customFormat="false" ht="15" hidden="false" customHeight="false" outlineLevel="0" collapsed="false">
      <c r="A1380" s="3" t="s">
        <v>1412</v>
      </c>
      <c r="B1380" s="4" t="n">
        <v>45705</v>
      </c>
      <c r="C1380" s="3" t="s">
        <v>724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3" t="n">
        <v>1</v>
      </c>
      <c r="I1380" s="3" t="n">
        <v>1</v>
      </c>
      <c r="J1380" s="3" t="n">
        <v>1</v>
      </c>
      <c r="K1380" s="3" t="n">
        <v>1</v>
      </c>
      <c r="L1380" s="3" t="n">
        <v>751.33</v>
      </c>
      <c r="M1380" s="3" t="n">
        <v>0</v>
      </c>
      <c r="N1380" s="3" t="n">
        <v>0</v>
      </c>
      <c r="O1380" s="3" t="n">
        <v>9</v>
      </c>
      <c r="P1380" s="3" t="n">
        <v>34</v>
      </c>
    </row>
    <row r="1381" customFormat="false" ht="15" hidden="false" customHeight="false" outlineLevel="0" collapsed="false">
      <c r="A1381" s="3" t="s">
        <v>1413</v>
      </c>
      <c r="B1381" s="4" t="n">
        <v>45760</v>
      </c>
      <c r="C1381" s="3" t="s">
        <v>724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3" t="n">
        <v>1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/>
      <c r="P1381" s="3" t="n">
        <v>67.1</v>
      </c>
    </row>
    <row r="1382" customFormat="false" ht="15" hidden="false" customHeight="false" outlineLevel="0" collapsed="false">
      <c r="A1382" s="3" t="s">
        <v>1414</v>
      </c>
      <c r="B1382" s="4" t="n">
        <v>45780</v>
      </c>
      <c r="C1382" s="3" t="s">
        <v>724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3" t="n">
        <v>1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0</v>
      </c>
      <c r="O1382" s="3"/>
      <c r="P1382" s="3" t="n">
        <v>37.3</v>
      </c>
    </row>
    <row r="1383" customFormat="false" ht="15" hidden="false" customHeight="false" outlineLevel="0" collapsed="false">
      <c r="A1383" s="3" t="s">
        <v>1415</v>
      </c>
      <c r="B1383" s="4" t="n">
        <v>45776</v>
      </c>
      <c r="C1383" s="3" t="s">
        <v>724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3" t="n">
        <v>1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0</v>
      </c>
      <c r="O1383" s="3"/>
      <c r="P1383" s="3" t="n">
        <v>54.7</v>
      </c>
    </row>
    <row r="1384" customFormat="false" ht="15" hidden="false" customHeight="false" outlineLevel="0" collapsed="false">
      <c r="A1384" s="3" t="s">
        <v>1416</v>
      </c>
      <c r="B1384" s="4" t="n">
        <v>45780</v>
      </c>
      <c r="C1384" s="3" t="s">
        <v>724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3" t="n">
        <v>1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0</v>
      </c>
      <c r="O1384" s="3"/>
      <c r="P1384" s="3" t="n">
        <v>51.8</v>
      </c>
    </row>
    <row r="1385" customFormat="false" ht="15" hidden="false" customHeight="false" outlineLevel="0" collapsed="false">
      <c r="A1385" s="3" t="s">
        <v>1417</v>
      </c>
      <c r="B1385" s="4" t="n">
        <v>45775</v>
      </c>
      <c r="C1385" s="3" t="s">
        <v>724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/>
      <c r="P1385" s="3" t="n">
        <v>49.2</v>
      </c>
    </row>
    <row r="1386" customFormat="false" ht="15" hidden="false" customHeight="false" outlineLevel="0" collapsed="false">
      <c r="A1386" s="3" t="s">
        <v>1418</v>
      </c>
      <c r="B1386" s="4" t="n">
        <v>45678</v>
      </c>
      <c r="C1386" s="3" t="s">
        <v>724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3" t="n">
        <v>1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2</v>
      </c>
      <c r="N1386" s="3" t="n">
        <v>0</v>
      </c>
      <c r="O1386" s="3"/>
      <c r="P1386" s="3" t="n">
        <v>58.8</v>
      </c>
    </row>
    <row r="1387" customFormat="false" ht="15" hidden="false" customHeight="false" outlineLevel="0" collapsed="false">
      <c r="A1387" s="3" t="s">
        <v>1419</v>
      </c>
      <c r="B1387" s="4" t="n">
        <v>45678</v>
      </c>
      <c r="C1387" s="3" t="s">
        <v>724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</v>
      </c>
      <c r="N1387" s="3" t="n">
        <v>0</v>
      </c>
      <c r="O1387" s="3"/>
      <c r="P1387" s="3" t="n">
        <v>59.1</v>
      </c>
    </row>
    <row r="1388" customFormat="false" ht="15" hidden="false" customHeight="false" outlineLevel="0" collapsed="false">
      <c r="A1388" s="3" t="s">
        <v>1420</v>
      </c>
      <c r="B1388" s="4" t="n">
        <v>45798</v>
      </c>
      <c r="C1388" s="3" t="s">
        <v>724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3" t="n">
        <v>1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2</v>
      </c>
      <c r="N1388" s="3" t="n">
        <v>0</v>
      </c>
      <c r="O1388" s="3"/>
      <c r="P1388" s="3" t="n">
        <v>49.6</v>
      </c>
    </row>
    <row r="1389" customFormat="false" ht="15" hidden="false" customHeight="false" outlineLevel="0" collapsed="false">
      <c r="A1389" s="3" t="s">
        <v>1421</v>
      </c>
      <c r="B1389" s="4" t="n">
        <v>45662</v>
      </c>
      <c r="C1389" s="3" t="s">
        <v>724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3" t="n">
        <v>0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0</v>
      </c>
      <c r="O1389" s="3"/>
      <c r="P1389" s="3" t="n">
        <v>58.2</v>
      </c>
    </row>
    <row r="1390" customFormat="false" ht="15" hidden="false" customHeight="false" outlineLevel="0" collapsed="false">
      <c r="A1390" s="3" t="s">
        <v>1422</v>
      </c>
      <c r="B1390" s="4" t="n">
        <v>45722</v>
      </c>
      <c r="C1390" s="3" t="s">
        <v>724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3" t="n">
        <v>1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/>
      <c r="P1390" s="3" t="n">
        <v>66.8</v>
      </c>
    </row>
    <row r="1391" customFormat="false" ht="15" hidden="false" customHeight="false" outlineLevel="0" collapsed="false">
      <c r="A1391" s="3" t="s">
        <v>1423</v>
      </c>
      <c r="B1391" s="4" t="n">
        <v>45765</v>
      </c>
      <c r="C1391" s="3" t="s">
        <v>724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3" t="n">
        <v>1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3</v>
      </c>
      <c r="N1391" s="3" t="n">
        <v>0</v>
      </c>
      <c r="O1391" s="3"/>
      <c r="P1391" s="3" t="n">
        <v>58.3</v>
      </c>
    </row>
    <row r="1392" customFormat="false" ht="15" hidden="false" customHeight="false" outlineLevel="0" collapsed="false">
      <c r="A1392" s="3" t="s">
        <v>1424</v>
      </c>
      <c r="B1392" s="4" t="n">
        <v>45762</v>
      </c>
      <c r="C1392" s="3" t="s">
        <v>724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3" t="n">
        <v>1</v>
      </c>
      <c r="I1392" s="3" t="n">
        <v>1</v>
      </c>
      <c r="J1392" s="3" t="n">
        <v>1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/>
      <c r="P1392" s="3" t="n">
        <v>38.5</v>
      </c>
    </row>
    <row r="1393" customFormat="false" ht="15" hidden="false" customHeight="false" outlineLevel="0" collapsed="false">
      <c r="A1393" s="3" t="s">
        <v>1425</v>
      </c>
      <c r="B1393" s="4" t="n">
        <v>45698</v>
      </c>
      <c r="C1393" s="3" t="s">
        <v>724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3" t="n">
        <v>1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/>
      <c r="P1393" s="3" t="n">
        <v>76.9</v>
      </c>
    </row>
    <row r="1394" customFormat="false" ht="15" hidden="false" customHeight="false" outlineLevel="0" collapsed="false">
      <c r="A1394" s="3" t="s">
        <v>1426</v>
      </c>
      <c r="B1394" s="4" t="n">
        <v>45785</v>
      </c>
      <c r="C1394" s="3" t="s">
        <v>724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3" t="n">
        <v>1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/>
      <c r="P1394" s="3" t="n">
        <v>54</v>
      </c>
    </row>
    <row r="1395" customFormat="false" ht="15" hidden="false" customHeight="false" outlineLevel="0" collapsed="false">
      <c r="A1395" s="3" t="s">
        <v>1427</v>
      </c>
      <c r="B1395" s="4" t="n">
        <v>45805</v>
      </c>
      <c r="C1395" s="3" t="s">
        <v>724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3" t="n">
        <v>1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0</v>
      </c>
      <c r="O1395" s="3"/>
      <c r="P1395" s="3" t="n">
        <v>70.6</v>
      </c>
    </row>
    <row r="1396" customFormat="false" ht="15" hidden="false" customHeight="false" outlineLevel="0" collapsed="false">
      <c r="A1396" s="3" t="s">
        <v>1428</v>
      </c>
      <c r="B1396" s="4" t="n">
        <v>45772</v>
      </c>
      <c r="C1396" s="3" t="s">
        <v>724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3" t="n">
        <v>1</v>
      </c>
      <c r="I1396" s="3" t="n">
        <v>1</v>
      </c>
      <c r="J1396" s="3" t="n">
        <v>1</v>
      </c>
      <c r="K1396" s="3" t="n">
        <v>0</v>
      </c>
      <c r="L1396" s="3" t="n">
        <v>0</v>
      </c>
      <c r="M1396" s="3" t="n">
        <v>1</v>
      </c>
      <c r="N1396" s="3" t="n">
        <v>0</v>
      </c>
      <c r="O1396" s="3"/>
      <c r="P1396" s="3" t="n">
        <v>69.4</v>
      </c>
    </row>
    <row r="1397" customFormat="false" ht="15" hidden="false" customHeight="false" outlineLevel="0" collapsed="false">
      <c r="A1397" s="3" t="s">
        <v>1429</v>
      </c>
      <c r="B1397" s="4" t="n">
        <v>45699</v>
      </c>
      <c r="C1397" s="3" t="s">
        <v>724</v>
      </c>
      <c r="D1397" s="3" t="s">
        <v>32</v>
      </c>
      <c r="E1397" s="3" t="s">
        <v>24</v>
      </c>
      <c r="F1397" s="3" t="s">
        <v>156</v>
      </c>
      <c r="G1397" s="3" t="s">
        <v>30</v>
      </c>
      <c r="H1397" s="3" t="n">
        <v>1</v>
      </c>
      <c r="I1397" s="3" t="n">
        <v>1</v>
      </c>
      <c r="J1397" s="3" t="n">
        <v>1</v>
      </c>
      <c r="K1397" s="3" t="n">
        <v>1</v>
      </c>
      <c r="L1397" s="3" t="n">
        <v>1009.9</v>
      </c>
      <c r="M1397" s="3" t="n">
        <v>0</v>
      </c>
      <c r="N1397" s="3" t="n">
        <v>0</v>
      </c>
      <c r="O1397" s="3" t="n">
        <v>6</v>
      </c>
      <c r="P1397" s="3" t="n">
        <v>89.7</v>
      </c>
    </row>
    <row r="1398" customFormat="false" ht="15" hidden="false" customHeight="false" outlineLevel="0" collapsed="false">
      <c r="A1398" s="3" t="s">
        <v>1430</v>
      </c>
      <c r="B1398" s="4" t="n">
        <v>45761</v>
      </c>
      <c r="C1398" s="3" t="s">
        <v>724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3" t="n">
        <v>1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/>
      <c r="P1398" s="3" t="n">
        <v>62.4</v>
      </c>
    </row>
    <row r="1399" customFormat="false" ht="15" hidden="false" customHeight="false" outlineLevel="0" collapsed="false">
      <c r="A1399" s="3" t="s">
        <v>1431</v>
      </c>
      <c r="B1399" s="4" t="n">
        <v>45692</v>
      </c>
      <c r="C1399" s="3" t="s">
        <v>724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3" t="n">
        <v>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0</v>
      </c>
      <c r="O1399" s="3"/>
      <c r="P1399" s="3" t="n">
        <v>67.3</v>
      </c>
    </row>
    <row r="1400" customFormat="false" ht="15" hidden="false" customHeight="false" outlineLevel="0" collapsed="false">
      <c r="A1400" s="3" t="s">
        <v>1432</v>
      </c>
      <c r="B1400" s="4" t="n">
        <v>45738</v>
      </c>
      <c r="C1400" s="3" t="s">
        <v>724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3" t="n">
        <v>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/>
      <c r="P1400" s="3" t="n">
        <v>54.9</v>
      </c>
    </row>
    <row r="1401" customFormat="false" ht="15" hidden="false" customHeight="false" outlineLevel="0" collapsed="false">
      <c r="A1401" s="3" t="s">
        <v>1433</v>
      </c>
      <c r="B1401" s="4" t="n">
        <v>45765</v>
      </c>
      <c r="C1401" s="3" t="s">
        <v>724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/>
      <c r="P1401" s="3" t="n">
        <v>55.7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5"/>
  </cols>
  <sheetData>
    <row r="1" customFormat="false" ht="17.35" hidden="false" customHeight="false" outlineLevel="0" collapsed="false">
      <c r="A1" s="5" t="s">
        <v>1434</v>
      </c>
    </row>
    <row r="2" customFormat="false" ht="15" hidden="false" customHeight="false" outlineLevel="0" collapsed="false">
      <c r="A2" s="6" t="s">
        <v>1435</v>
      </c>
    </row>
    <row r="4" customFormat="false" ht="27.75" hidden="false" customHeight="true" outlineLevel="0" collapsed="false">
      <c r="A4" s="7" t="s">
        <v>1436</v>
      </c>
      <c r="B4" s="7" t="s">
        <v>1437</v>
      </c>
      <c r="C4" s="7" t="s">
        <v>17</v>
      </c>
      <c r="D4" s="7" t="s">
        <v>724</v>
      </c>
      <c r="E4" s="7" t="s">
        <v>1438</v>
      </c>
      <c r="F4" s="7" t="s">
        <v>1439</v>
      </c>
    </row>
    <row r="5" customFormat="false" ht="15" hidden="false" customHeight="false" outlineLevel="0" collapsed="false">
      <c r="A5" s="8" t="s">
        <v>1440</v>
      </c>
      <c r="B5" s="9" t="s">
        <v>1441</v>
      </c>
      <c r="C5" s="10" t="n">
        <f aca="false">COUNTIF(Cleaned_Data!C2:C1401,"Control")</f>
        <v>690</v>
      </c>
      <c r="D5" s="10" t="n">
        <f aca="false">COUNTIF(Cleaned_Data!C2:C1401,"Treatment")</f>
        <v>710</v>
      </c>
      <c r="E5" s="10" t="n">
        <f aca="false">D5-C5</f>
        <v>20</v>
      </c>
      <c r="F5" s="11" t="n">
        <f aca="false">IF(C5=0,"n/a",(D5-C5)/C5)</f>
        <v>0.0289855072463768</v>
      </c>
    </row>
    <row r="6" customFormat="false" ht="15" hidden="false" customHeight="false" outlineLevel="0" collapsed="false">
      <c r="A6" s="8" t="s">
        <v>1442</v>
      </c>
      <c r="B6" s="9" t="s">
        <v>1443</v>
      </c>
      <c r="C6" s="12" t="n">
        <f aca="false">AVERAGEIF(Cleaned_Data!C2:C1401,"Control",Cleaned_Data!H2:H1401)</f>
        <v>0.636231884057971</v>
      </c>
      <c r="D6" s="12" t="n">
        <f aca="false">AVERAGEIF(Cleaned_Data!C2:C1401,"Treatment",Cleaned_Data!H2:H1401)</f>
        <v>0.723943661971831</v>
      </c>
      <c r="E6" s="12" t="n">
        <f aca="false">D6-C6</f>
        <v>0.08771177791386</v>
      </c>
      <c r="F6" s="11" t="n">
        <f aca="false">IF(C6=0,"n/a",(D6-C6)/C6)</f>
        <v>0.137861336584427</v>
      </c>
    </row>
    <row r="7" customFormat="false" ht="15" hidden="false" customHeight="false" outlineLevel="0" collapsed="false">
      <c r="A7" s="8" t="s">
        <v>1444</v>
      </c>
      <c r="B7" s="9" t="s">
        <v>1445</v>
      </c>
      <c r="C7" s="12" t="n">
        <f aca="false">AVERAGEIF(Cleaned_Data!C2:C1401,"Control",Cleaned_Data!I2:I1401)</f>
        <v>0.250724637681159</v>
      </c>
      <c r="D7" s="12" t="n">
        <f aca="false">AVERAGEIF(Cleaned_Data!C2:C1401,"Treatment",Cleaned_Data!I2:I1401)</f>
        <v>0.290140845070423</v>
      </c>
      <c r="E7" s="12" t="n">
        <f aca="false">D7-C7</f>
        <v>0.0394162073892631</v>
      </c>
      <c r="F7" s="11" t="n">
        <f aca="false">IF(C7=0,"n/a",(D7-C7)/C7)</f>
        <v>0.157209150858911</v>
      </c>
    </row>
    <row r="8" customFormat="false" ht="15" hidden="false" customHeight="false" outlineLevel="0" collapsed="false">
      <c r="A8" s="8" t="s">
        <v>1446</v>
      </c>
      <c r="B8" s="9" t="s">
        <v>1447</v>
      </c>
      <c r="C8" s="12" t="n">
        <f aca="false">AVERAGEIF(Cleaned_Data!C2:C1401,"Control",Cleaned_Data!J2:J1401)</f>
        <v>0.156521739130435</v>
      </c>
      <c r="D8" s="12" t="n">
        <f aca="false">AVERAGEIF(Cleaned_Data!C2:C1401,"Treatment",Cleaned_Data!J2:J1401)</f>
        <v>0.211267605633803</v>
      </c>
      <c r="E8" s="12" t="n">
        <f aca="false">D8-C8</f>
        <v>0.054745866503368</v>
      </c>
      <c r="F8" s="11" t="n">
        <f aca="false">IF(C8=0,"n/a",(D8-C8)/C8)</f>
        <v>0.349765258215962</v>
      </c>
    </row>
    <row r="9" customFormat="false" ht="15" hidden="false" customHeight="false" outlineLevel="0" collapsed="false">
      <c r="A9" s="8" t="s">
        <v>1448</v>
      </c>
      <c r="B9" s="9" t="s">
        <v>1449</v>
      </c>
      <c r="C9" s="12" t="n">
        <f aca="false">AVERAGEIF(Cleaned_Data!C2:C1401,"Control",Cleaned_Data!K2:K1401)</f>
        <v>0.0318840579710145</v>
      </c>
      <c r="D9" s="12" t="n">
        <f aca="false">AVERAGEIF(Cleaned_Data!C2:C1401,"Treatment",Cleaned_Data!K2:K1401)</f>
        <v>0.0704225352112676</v>
      </c>
      <c r="E9" s="12" t="n">
        <f aca="false">D9-C9</f>
        <v>0.0385384772402531</v>
      </c>
      <c r="F9" s="11" t="n">
        <f aca="false">IF(C9=0,"n/a",(D9-C9)/C9)</f>
        <v>1.20870678617158</v>
      </c>
    </row>
    <row r="10" customFormat="false" ht="15" hidden="false" customHeight="false" outlineLevel="0" collapsed="false">
      <c r="A10" s="8" t="s">
        <v>1450</v>
      </c>
      <c r="B10" s="9" t="s">
        <v>1451</v>
      </c>
      <c r="C10" s="13" t="n">
        <f aca="false">AVERAGEIF(Cleaned_Data!C2:C1401,"Control",Cleaned_Data!L2:L1401)</f>
        <v>51.9743188405797</v>
      </c>
      <c r="D10" s="13" t="n">
        <f aca="false">AVERAGEIF(Cleaned_Data!C2:C1401,"Treatment",Cleaned_Data!L2:L1401)</f>
        <v>54.2545211267606</v>
      </c>
      <c r="E10" s="13" t="n">
        <f aca="false">D10-C10</f>
        <v>2.28020228618086</v>
      </c>
      <c r="F10" s="11" t="n">
        <f aca="false">IF(C10=0,"n/a",(D10-C10)/C10)</f>
        <v>0.0438717108188546</v>
      </c>
    </row>
    <row r="11" customFormat="false" ht="15" hidden="false" customHeight="false" outlineLevel="0" collapsed="false">
      <c r="A11" s="8" t="s">
        <v>1452</v>
      </c>
      <c r="B11" s="9" t="s">
        <v>1453</v>
      </c>
      <c r="C11" s="13" t="n">
        <f aca="false">SUMIFS(Cleaned_Data!L2:L1401,Cleaned_Data!C2:C1401,"Control",Cleaned_Data!K2:K1401,1)/COUNTIFS(Cleaned_Data!C2:C1401,"Control",Cleaned_Data!K2:K1401,1)</f>
        <v>1630.10363636364</v>
      </c>
      <c r="D11" s="13" t="n">
        <f aca="false">SUMIFS(Cleaned_Data!L2:L1401,Cleaned_Data!C2:C1401,"Treatment",Cleaned_Data!K2:K1401,1)/COUNTIFS(Cleaned_Data!C2:C1401,"Treatment",Cleaned_Data!K2:K1401,1)</f>
        <v>770.4142</v>
      </c>
      <c r="E11" s="13" t="n">
        <f aca="false">D11-C11</f>
        <v>-859.689436363636</v>
      </c>
      <c r="F11" s="11" t="n">
        <f aca="false">IF(C11=0,"n/a",(D11-C11)/C11)</f>
        <v>-0.527383300782884</v>
      </c>
    </row>
    <row r="12" customFormat="false" ht="15" hidden="false" customHeight="false" outlineLevel="0" collapsed="false">
      <c r="A12" s="8" t="s">
        <v>1454</v>
      </c>
      <c r="B12" s="9" t="s">
        <v>1455</v>
      </c>
      <c r="C12" s="14" t="n">
        <f aca="false">AVERAGEIF(Cleaned_Data!C2:C1401,"Control",Cleaned_Data!N2:N1401)</f>
        <v>0</v>
      </c>
      <c r="D12" s="14" t="n">
        <f aca="false">AVERAGEIF(Cleaned_Data!C2:C1401,"Treatment",Cleaned_Data!N2:N1401)</f>
        <v>0.00422535211267606</v>
      </c>
      <c r="E12" s="14" t="n">
        <f aca="false">D12-C12</f>
        <v>0.00422535211267606</v>
      </c>
      <c r="F12" s="11" t="str">
        <f aca="false">IF(C12=0,"n/a",(D12-C12)/C12)</f>
        <v>n/a</v>
      </c>
    </row>
    <row r="13" customFormat="false" ht="15" hidden="false" customHeight="false" outlineLevel="0" collapsed="false">
      <c r="A13" s="8" t="s">
        <v>1456</v>
      </c>
      <c r="B13" s="9" t="s">
        <v>1457</v>
      </c>
      <c r="C13" s="12" t="n">
        <f aca="false">COUNTIFS(Cleaned_Data!C2:C1401,"Control",Cleaned_Data!M2:M1401,"&gt;0")/COUNTIF(Cleaned_Data!C2:C1401,"Control")</f>
        <v>0.147826086956522</v>
      </c>
      <c r="D13" s="12" t="n">
        <f aca="false">COUNTIFS(Cleaned_Data!C2:C1401,"Treatment",Cleaned_Data!M2:M1401,"&gt;0")/COUNTIF(Cleaned_Data!C2:C1401,"Treatment")</f>
        <v>0.247887323943662</v>
      </c>
      <c r="E13" s="12" t="n">
        <f aca="false">D13-C13</f>
        <v>0.10006123698714</v>
      </c>
      <c r="F13" s="11" t="n">
        <f aca="false">IF(C13=0,"n/a",(D13-C13)/C13)</f>
        <v>0.676884838442419</v>
      </c>
    </row>
    <row r="14" customFormat="false" ht="15" hidden="false" customHeight="false" outlineLevel="0" collapsed="false">
      <c r="A14" s="8" t="s">
        <v>1458</v>
      </c>
      <c r="B14" s="9" t="s">
        <v>1459</v>
      </c>
      <c r="C14" s="15" t="n">
        <f aca="false">AVERAGEIF(Cleaned_Data!C2:C1401,"Control",Cleaned_Data!P2:P1401)</f>
        <v>57.0295321637427</v>
      </c>
      <c r="D14" s="15" t="n">
        <f aca="false">AVERAGEIF(Cleaned_Data!C2:C1401,"Treatment",Cleaned_Data!P2:P1401)</f>
        <v>62.9400284900285</v>
      </c>
      <c r="E14" s="15" t="n">
        <f aca="false">D14-C14</f>
        <v>5.9104963262858</v>
      </c>
      <c r="F14" s="11" t="n">
        <f aca="false">IF(C14=0,"n/a",(D14-C14)/C14)</f>
        <v>0.103639221681069</v>
      </c>
    </row>
    <row r="15" customFormat="false" ht="15" hidden="false" customHeight="false" outlineLevel="0" collapsed="false">
      <c r="A15" s="8" t="s">
        <v>1460</v>
      </c>
      <c r="B15" s="9" t="s">
        <v>1461</v>
      </c>
      <c r="C15" s="15" t="n">
        <f aca="false">AVERAGEIFS(Cleaned_Data!O2:O1401,Cleaned_Data!C2:C1401,"Control",Cleaned_Data!K2:K1401,1)</f>
        <v>8.86363636363636</v>
      </c>
      <c r="D15" s="15" t="n">
        <f aca="false">AVERAGEIFS(Cleaned_Data!O2:O1401,Cleaned_Data!C2:C1401,"Treatment",Cleaned_Data!K2:K1401,1)</f>
        <v>6.4</v>
      </c>
      <c r="E15" s="15" t="n">
        <f aca="false">D15-C15</f>
        <v>-2.46363636363636</v>
      </c>
      <c r="F15" s="11" t="n">
        <f aca="false">IF(C15=0,"n/a",(D15-C15)/C15)</f>
        <v>-0.277948717948718</v>
      </c>
    </row>
    <row r="17" customFormat="false" ht="15" hidden="false" customHeight="false" outlineLevel="0" collapsed="false">
      <c r="A17" s="8" t="s">
        <v>1462</v>
      </c>
    </row>
    <row r="18" customFormat="false" ht="15" hidden="false" customHeight="false" outlineLevel="0" collapsed="false">
      <c r="A18" s="16" t="s">
        <v>1463</v>
      </c>
      <c r="B18" s="16"/>
      <c r="C18" s="16"/>
      <c r="D18" s="16"/>
      <c r="E18" s="16"/>
      <c r="F18" s="16"/>
    </row>
    <row r="19" customFormat="false" ht="15" hidden="false" customHeight="false" outlineLevel="0" collapsed="false">
      <c r="A19" s="16" t="s">
        <v>1464</v>
      </c>
      <c r="B19" s="16"/>
      <c r="C19" s="16"/>
      <c r="D19" s="16"/>
      <c r="E19" s="16"/>
      <c r="F19" s="16"/>
    </row>
    <row r="20" customFormat="false" ht="15" hidden="false" customHeight="false" outlineLevel="0" collapsed="false">
      <c r="A20" s="16" t="s">
        <v>1465</v>
      </c>
      <c r="B20" s="16"/>
      <c r="C20" s="16"/>
      <c r="D20" s="16"/>
      <c r="E20" s="16"/>
      <c r="F20" s="16"/>
    </row>
  </sheetData>
  <mergeCells count="3">
    <mergeCell ref="A18:F18"/>
    <mergeCell ref="A19:F19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12"/>
    <col collapsed="false" customWidth="true" hidden="false" outlineLevel="0" max="7" min="4" style="1" width="17"/>
  </cols>
  <sheetData>
    <row r="1" customFormat="false" ht="17.35" hidden="false" customHeight="false" outlineLevel="0" collapsed="false">
      <c r="A1" s="5" t="s">
        <v>1466</v>
      </c>
    </row>
    <row r="2" customFormat="false" ht="15" hidden="false" customHeight="false" outlineLevel="0" collapsed="false">
      <c r="A2" s="6" t="s">
        <v>1467</v>
      </c>
    </row>
    <row r="4" customFormat="false" ht="15" hidden="false" customHeight="false" outlineLevel="0" collapsed="false">
      <c r="A4" s="17" t="s">
        <v>1468</v>
      </c>
      <c r="B4" s="17"/>
      <c r="C4" s="17"/>
      <c r="D4" s="17"/>
      <c r="E4" s="17"/>
      <c r="F4" s="17"/>
      <c r="G4" s="17"/>
    </row>
    <row r="5" customFormat="false" ht="30" hidden="false" customHeight="true" outlineLevel="0" collapsed="false">
      <c r="A5" s="7" t="s">
        <v>1469</v>
      </c>
      <c r="B5" s="7" t="s">
        <v>1470</v>
      </c>
      <c r="C5" s="7" t="s">
        <v>1471</v>
      </c>
      <c r="D5" s="7" t="s">
        <v>1472</v>
      </c>
      <c r="E5" s="7" t="s">
        <v>1473</v>
      </c>
      <c r="F5" s="7" t="s">
        <v>1474</v>
      </c>
      <c r="G5" s="7" t="s">
        <v>1475</v>
      </c>
    </row>
    <row r="6" customFormat="false" ht="15" hidden="false" customHeight="false" outlineLevel="0" collapsed="false">
      <c r="A6" s="3" t="s">
        <v>28</v>
      </c>
      <c r="B6" s="10" t="n">
        <f aca="false">COUNTIFS(Cleaned_Data!D2:D1401,A6,Cleaned_Data!C2:C1401,"Control")</f>
        <v>157</v>
      </c>
      <c r="C6" s="10" t="n">
        <f aca="false">COUNTIFS(Cleaned_Data!D2:D1401,A6,Cleaned_Data!C2:C1401,"Treatment")</f>
        <v>170</v>
      </c>
      <c r="D6" s="12" t="n">
        <f aca="false">AVERAGEIFS(Cleaned_Data!K2:K1401,Cleaned_Data!D2:D1401,A6,Cleaned_Data!C2:C1401,"Control")</f>
        <v>0.0254777070063694</v>
      </c>
      <c r="E6" s="12" t="n">
        <f aca="false">AVERAGEIFS(Cleaned_Data!K2:K1401,Cleaned_Data!D2:D1401,A6,Cleaned_Data!C2:C1401,"Treatment")</f>
        <v>0.0647058823529412</v>
      </c>
      <c r="F6" s="12" t="n">
        <f aca="false">COUNTIFS(Cleaned_Data!D2:D1401,A6,Cleaned_Data!C2:C1401,"Control",Cleaned_Data!M2:M1401,"&gt;0")/B6</f>
        <v>0.140127388535032</v>
      </c>
      <c r="G6" s="12" t="n">
        <f aca="false">COUNTIFS(Cleaned_Data!D2:D1401,A6,Cleaned_Data!C2:C1401,"Treatment",Cleaned_Data!M2:M1401,"&gt;0")/C6</f>
        <v>0.264705882352941</v>
      </c>
    </row>
    <row r="7" customFormat="false" ht="15" hidden="false" customHeight="false" outlineLevel="0" collapsed="false">
      <c r="A7" s="3" t="s">
        <v>18</v>
      </c>
      <c r="B7" s="10" t="n">
        <f aca="false">COUNTIFS(Cleaned_Data!D2:D1401,A7,Cleaned_Data!C2:C1401,"Control")</f>
        <v>201</v>
      </c>
      <c r="C7" s="10" t="n">
        <f aca="false">COUNTIFS(Cleaned_Data!D2:D1401,A7,Cleaned_Data!C2:C1401,"Treatment")</f>
        <v>180</v>
      </c>
      <c r="D7" s="12" t="n">
        <f aca="false">AVERAGEIFS(Cleaned_Data!K2:K1401,Cleaned_Data!D2:D1401,A7,Cleaned_Data!C2:C1401,"Control")</f>
        <v>0.0348258706467662</v>
      </c>
      <c r="E7" s="12" t="n">
        <f aca="false">AVERAGEIFS(Cleaned_Data!K2:K1401,Cleaned_Data!D2:D1401,A7,Cleaned_Data!C2:C1401,"Treatment")</f>
        <v>0.0888888888888889</v>
      </c>
      <c r="F7" s="12" t="n">
        <f aca="false">COUNTIFS(Cleaned_Data!D2:D1401,A7,Cleaned_Data!C2:C1401,"Control",Cleaned_Data!M2:M1401,"&gt;0")/B7</f>
        <v>0.154228855721393</v>
      </c>
      <c r="G7" s="12" t="n">
        <f aca="false">COUNTIFS(Cleaned_Data!D2:D1401,A7,Cleaned_Data!C2:C1401,"Treatment",Cleaned_Data!M2:M1401,"&gt;0")/C7</f>
        <v>0.227777777777778</v>
      </c>
    </row>
    <row r="8" customFormat="false" ht="15" hidden="false" customHeight="false" outlineLevel="0" collapsed="false">
      <c r="A8" s="3" t="s">
        <v>32</v>
      </c>
      <c r="B8" s="10" t="n">
        <f aca="false">COUNTIFS(Cleaned_Data!D2:D1401,A8,Cleaned_Data!C2:C1401,"Control")</f>
        <v>184</v>
      </c>
      <c r="C8" s="10" t="n">
        <f aca="false">COUNTIFS(Cleaned_Data!D2:D1401,A8,Cleaned_Data!C2:C1401,"Treatment")</f>
        <v>183</v>
      </c>
      <c r="D8" s="12" t="n">
        <f aca="false">AVERAGEIFS(Cleaned_Data!K2:K1401,Cleaned_Data!D2:D1401,A8,Cleaned_Data!C2:C1401,"Control")</f>
        <v>0.0326086956521739</v>
      </c>
      <c r="E8" s="12" t="n">
        <f aca="false">AVERAGEIFS(Cleaned_Data!K2:K1401,Cleaned_Data!D2:D1401,A8,Cleaned_Data!C2:C1401,"Treatment")</f>
        <v>0.0765027322404372</v>
      </c>
      <c r="F8" s="12" t="n">
        <f aca="false">COUNTIFS(Cleaned_Data!D2:D1401,A8,Cleaned_Data!C2:C1401,"Control",Cleaned_Data!M2:M1401,"&gt;0")/B8</f>
        <v>0.141304347826087</v>
      </c>
      <c r="G8" s="12" t="n">
        <f aca="false">COUNTIFS(Cleaned_Data!D2:D1401,A8,Cleaned_Data!C2:C1401,"Treatment",Cleaned_Data!M2:M1401,"&gt;0")/C8</f>
        <v>0.224043715846995</v>
      </c>
    </row>
    <row r="9" customFormat="false" ht="15" hidden="false" customHeight="false" outlineLevel="0" collapsed="false">
      <c r="A9" s="3" t="s">
        <v>23</v>
      </c>
      <c r="B9" s="10" t="n">
        <f aca="false">COUNTIFS(Cleaned_Data!D2:D1401,A9,Cleaned_Data!C2:C1401,"Control")</f>
        <v>148</v>
      </c>
      <c r="C9" s="10" t="n">
        <f aca="false">COUNTIFS(Cleaned_Data!D2:D1401,A9,Cleaned_Data!C2:C1401,"Treatment")</f>
        <v>177</v>
      </c>
      <c r="D9" s="12" t="n">
        <f aca="false">AVERAGEIFS(Cleaned_Data!K2:K1401,Cleaned_Data!D2:D1401,A9,Cleaned_Data!C2:C1401,"Control")</f>
        <v>0.0337837837837838</v>
      </c>
      <c r="E9" s="12" t="n">
        <f aca="false">AVERAGEIFS(Cleaned_Data!K2:K1401,Cleaned_Data!D2:D1401,A9,Cleaned_Data!C2:C1401,"Treatment")</f>
        <v>0.0508474576271187</v>
      </c>
      <c r="F9" s="12" t="n">
        <f aca="false">COUNTIFS(Cleaned_Data!D2:D1401,A9,Cleaned_Data!C2:C1401,"Control",Cleaned_Data!M2:M1401,"&gt;0")/B9</f>
        <v>0.155405405405405</v>
      </c>
      <c r="G9" s="12" t="n">
        <f aca="false">COUNTIFS(Cleaned_Data!D2:D1401,A9,Cleaned_Data!C2:C1401,"Treatment",Cleaned_Data!M2:M1401,"&gt;0")/C9</f>
        <v>0.27683615819209</v>
      </c>
    </row>
    <row r="11" customFormat="false" ht="15" hidden="false" customHeight="false" outlineLevel="0" collapsed="false">
      <c r="A11" s="17" t="s">
        <v>1476</v>
      </c>
      <c r="B11" s="17"/>
      <c r="C11" s="17"/>
      <c r="D11" s="17"/>
      <c r="E11" s="17"/>
      <c r="F11" s="17"/>
      <c r="G11" s="17"/>
    </row>
    <row r="12" customFormat="false" ht="30" hidden="false" customHeight="true" outlineLevel="0" collapsed="false">
      <c r="A12" s="7" t="s">
        <v>1469</v>
      </c>
      <c r="B12" s="7" t="s">
        <v>1470</v>
      </c>
      <c r="C12" s="7" t="s">
        <v>1471</v>
      </c>
      <c r="D12" s="7" t="s">
        <v>1472</v>
      </c>
      <c r="E12" s="7" t="s">
        <v>1473</v>
      </c>
      <c r="F12" s="7" t="s">
        <v>1474</v>
      </c>
      <c r="G12" s="7" t="s">
        <v>1475</v>
      </c>
    </row>
    <row r="13" customFormat="false" ht="15" hidden="false" customHeight="false" outlineLevel="0" collapsed="false">
      <c r="A13" s="3" t="s">
        <v>19</v>
      </c>
      <c r="B13" s="10" t="n">
        <f aca="false">COUNTIFS(Cleaned_Data!E2:E1401,A13,Cleaned_Data!C2:C1401,"Control")</f>
        <v>200</v>
      </c>
      <c r="C13" s="10" t="n">
        <f aca="false">COUNTIFS(Cleaned_Data!E2:E1401,A13,Cleaned_Data!C2:C1401,"Treatment")</f>
        <v>213</v>
      </c>
      <c r="D13" s="12" t="n">
        <f aca="false">AVERAGEIFS(Cleaned_Data!K2:K1401,Cleaned_Data!E2:E1401,A13,Cleaned_Data!C2:C1401,"Control")</f>
        <v>0.045</v>
      </c>
      <c r="E13" s="12" t="n">
        <f aca="false">AVERAGEIFS(Cleaned_Data!K2:K1401,Cleaned_Data!E2:E1401,A13,Cleaned_Data!C2:C1401,"Treatment")</f>
        <v>0.0657276995305164</v>
      </c>
      <c r="F13" s="12" t="n">
        <f aca="false">COUNTIFS(Cleaned_Data!E2:E1401,A13,Cleaned_Data!C2:C1401,"Control",Cleaned_Data!M2:M1401,"&gt;0")/B13</f>
        <v>0.15</v>
      </c>
      <c r="G13" s="12" t="n">
        <f aca="false">COUNTIFS(Cleaned_Data!E2:E1401,A13,Cleaned_Data!C2:C1401,"Treatment",Cleaned_Data!M2:M1401,"&gt;0")/C13</f>
        <v>0.23943661971831</v>
      </c>
    </row>
    <row r="14" customFormat="false" ht="15" hidden="false" customHeight="false" outlineLevel="0" collapsed="false">
      <c r="A14" s="3" t="s">
        <v>24</v>
      </c>
      <c r="B14" s="10" t="n">
        <f aca="false">COUNTIFS(Cleaned_Data!E2:E1401,A14,Cleaned_Data!C2:C1401,"Control")</f>
        <v>426</v>
      </c>
      <c r="C14" s="10" t="n">
        <f aca="false">COUNTIFS(Cleaned_Data!E2:E1401,A14,Cleaned_Data!C2:C1401,"Treatment")</f>
        <v>432</v>
      </c>
      <c r="D14" s="12" t="n">
        <f aca="false">AVERAGEIFS(Cleaned_Data!K2:K1401,Cleaned_Data!E2:E1401,A14,Cleaned_Data!C2:C1401,"Control")</f>
        <v>0.0258215962441315</v>
      </c>
      <c r="E14" s="12" t="n">
        <f aca="false">AVERAGEIFS(Cleaned_Data!K2:K1401,Cleaned_Data!E2:E1401,A14,Cleaned_Data!C2:C1401,"Treatment")</f>
        <v>0.0740740740740741</v>
      </c>
      <c r="F14" s="12" t="n">
        <f aca="false">COUNTIFS(Cleaned_Data!E2:E1401,A14,Cleaned_Data!C2:C1401,"Control",Cleaned_Data!M2:M1401,"&gt;0")/B14</f>
        <v>0.152582159624413</v>
      </c>
      <c r="G14" s="12" t="n">
        <f aca="false">COUNTIFS(Cleaned_Data!E2:E1401,A14,Cleaned_Data!C2:C1401,"Treatment",Cleaned_Data!M2:M1401,"&gt;0")/C14</f>
        <v>0.252314814814815</v>
      </c>
    </row>
    <row r="15" customFormat="false" ht="15" hidden="false" customHeight="false" outlineLevel="0" collapsed="false">
      <c r="A15" s="3" t="s">
        <v>34</v>
      </c>
      <c r="B15" s="10" t="n">
        <f aca="false">COUNTIFS(Cleaned_Data!E2:E1401,A15,Cleaned_Data!C2:C1401,"Control")</f>
        <v>55</v>
      </c>
      <c r="C15" s="10" t="n">
        <f aca="false">COUNTIFS(Cleaned_Data!E2:E1401,A15,Cleaned_Data!C2:C1401,"Treatment")</f>
        <v>56</v>
      </c>
      <c r="D15" s="12" t="n">
        <f aca="false">AVERAGEIFS(Cleaned_Data!K2:K1401,Cleaned_Data!E2:E1401,A15,Cleaned_Data!C2:C1401,"Control")</f>
        <v>0.0181818181818182</v>
      </c>
      <c r="E15" s="12" t="n">
        <f aca="false">AVERAGEIFS(Cleaned_Data!K2:K1401,Cleaned_Data!E2:E1401,A15,Cleaned_Data!C2:C1401,"Treatment")</f>
        <v>0.0714285714285714</v>
      </c>
      <c r="F15" s="12" t="n">
        <f aca="false">COUNTIFS(Cleaned_Data!E2:E1401,A15,Cleaned_Data!C2:C1401,"Control",Cleaned_Data!M2:M1401,"&gt;0")/B15</f>
        <v>0.109090909090909</v>
      </c>
      <c r="G15" s="12" t="n">
        <f aca="false">COUNTIFS(Cleaned_Data!E2:E1401,A15,Cleaned_Data!C2:C1401,"Treatment",Cleaned_Data!M2:M1401,"&gt;0")/C15</f>
        <v>0.214285714285714</v>
      </c>
    </row>
    <row r="16" customFormat="false" ht="15" hidden="false" customHeight="false" outlineLevel="0" collapsed="false">
      <c r="A16" s="3" t="s">
        <v>156</v>
      </c>
      <c r="B16" s="10" t="n">
        <f aca="false">COUNTIFS(Cleaned_Data!E2:E1401,A16,Cleaned_Data!C2:C1401,"Control")</f>
        <v>9</v>
      </c>
      <c r="C16" s="10" t="n">
        <f aca="false">COUNTIFS(Cleaned_Data!E2:E1401,A16,Cleaned_Data!C2:C1401,"Treatment")</f>
        <v>9</v>
      </c>
      <c r="D16" s="12" t="n">
        <f aca="false">AVERAGEIFS(Cleaned_Data!K2:K1401,Cleaned_Data!E2:E1401,A16,Cleaned_Data!C2:C1401,"Control")</f>
        <v>0.111111111111111</v>
      </c>
      <c r="E16" s="12" t="n">
        <f aca="false">AVERAGEIFS(Cleaned_Data!K2:K1401,Cleaned_Data!E2:E1401,A16,Cleaned_Data!C2:C1401,"Treatment")</f>
        <v>0</v>
      </c>
      <c r="F16" s="12" t="n">
        <f aca="false">COUNTIFS(Cleaned_Data!E2:E1401,A16,Cleaned_Data!C2:C1401,"Control",Cleaned_Data!M2:M1401,"&gt;0")/B16</f>
        <v>0.111111111111111</v>
      </c>
      <c r="G16" s="12" t="n">
        <f aca="false">COUNTIFS(Cleaned_Data!E2:E1401,A16,Cleaned_Data!C2:C1401,"Treatment",Cleaned_Data!M2:M1401,"&gt;0")/C16</f>
        <v>0.444444444444444</v>
      </c>
    </row>
    <row r="18" customFormat="false" ht="15" hidden="false" customHeight="false" outlineLevel="0" collapsed="false">
      <c r="A18" s="17" t="s">
        <v>1477</v>
      </c>
      <c r="B18" s="17"/>
      <c r="C18" s="17"/>
      <c r="D18" s="17"/>
      <c r="E18" s="17"/>
      <c r="F18" s="17"/>
      <c r="G18" s="17"/>
    </row>
    <row r="19" customFormat="false" ht="30" hidden="false" customHeight="true" outlineLevel="0" collapsed="false">
      <c r="A19" s="7" t="s">
        <v>1469</v>
      </c>
      <c r="B19" s="7" t="s">
        <v>1470</v>
      </c>
      <c r="C19" s="7" t="s">
        <v>1471</v>
      </c>
      <c r="D19" s="7" t="s">
        <v>1472</v>
      </c>
      <c r="E19" s="7" t="s">
        <v>1473</v>
      </c>
      <c r="F19" s="7" t="s">
        <v>1474</v>
      </c>
      <c r="G19" s="7" t="s">
        <v>1475</v>
      </c>
    </row>
    <row r="20" customFormat="false" ht="15" hidden="false" customHeight="false" outlineLevel="0" collapsed="false">
      <c r="A20" s="3" t="s">
        <v>20</v>
      </c>
      <c r="B20" s="10" t="n">
        <f aca="false">COUNTIFS(Cleaned_Data!F2:F1401,A20,Cleaned_Data!C2:C1401,"Control")</f>
        <v>73</v>
      </c>
      <c r="C20" s="10" t="n">
        <f aca="false">COUNTIFS(Cleaned_Data!F2:F1401,A20,Cleaned_Data!C2:C1401,"Treatment")</f>
        <v>56</v>
      </c>
      <c r="D20" s="12" t="n">
        <f aca="false">AVERAGEIFS(Cleaned_Data!K2:K1401,Cleaned_Data!F2:F1401,A20,Cleaned_Data!C2:C1401,"Control")</f>
        <v>0.0273972602739726</v>
      </c>
      <c r="E20" s="12" t="n">
        <f aca="false">AVERAGEIFS(Cleaned_Data!K2:K1401,Cleaned_Data!F2:F1401,A20,Cleaned_Data!C2:C1401,"Treatment")</f>
        <v>0.0714285714285714</v>
      </c>
      <c r="F20" s="12" t="n">
        <f aca="false">COUNTIFS(Cleaned_Data!F2:F1401,A20,Cleaned_Data!C2:C1401,"Control",Cleaned_Data!M2:M1401,"&gt;0")/B20</f>
        <v>0.164383561643836</v>
      </c>
      <c r="G20" s="12" t="n">
        <f aca="false">COUNTIFS(Cleaned_Data!F2:F1401,A20,Cleaned_Data!C2:C1401,"Treatment",Cleaned_Data!M2:M1401,"&gt;0")/C20</f>
        <v>0.339285714285714</v>
      </c>
    </row>
    <row r="21" customFormat="false" ht="15" hidden="false" customHeight="false" outlineLevel="0" collapsed="false">
      <c r="A21" s="3" t="s">
        <v>25</v>
      </c>
      <c r="B21" s="10" t="n">
        <f aca="false">COUNTIFS(Cleaned_Data!F2:F1401,A21,Cleaned_Data!C2:C1401,"Control")</f>
        <v>246</v>
      </c>
      <c r="C21" s="10" t="n">
        <f aca="false">COUNTIFS(Cleaned_Data!F2:F1401,A21,Cleaned_Data!C2:C1401,"Treatment")</f>
        <v>237</v>
      </c>
      <c r="D21" s="12" t="n">
        <f aca="false">AVERAGEIFS(Cleaned_Data!K2:K1401,Cleaned_Data!F2:F1401,A21,Cleaned_Data!C2:C1401,"Control")</f>
        <v>0.0203252032520325</v>
      </c>
      <c r="E21" s="12" t="n">
        <f aca="false">AVERAGEIFS(Cleaned_Data!K2:K1401,Cleaned_Data!F2:F1401,A21,Cleaned_Data!C2:C1401,"Treatment")</f>
        <v>0.0632911392405063</v>
      </c>
      <c r="F21" s="12" t="n">
        <f aca="false">COUNTIFS(Cleaned_Data!F2:F1401,A21,Cleaned_Data!C2:C1401,"Control",Cleaned_Data!M2:M1401,"&gt;0")/B21</f>
        <v>0.121951219512195</v>
      </c>
      <c r="G21" s="12" t="n">
        <f aca="false">COUNTIFS(Cleaned_Data!F2:F1401,A21,Cleaned_Data!C2:C1401,"Treatment",Cleaned_Data!M2:M1401,"&gt;0")/C21</f>
        <v>0.227848101265823</v>
      </c>
    </row>
    <row r="22" customFormat="false" ht="15" hidden="false" customHeight="false" outlineLevel="0" collapsed="false">
      <c r="A22" s="3" t="s">
        <v>29</v>
      </c>
      <c r="B22" s="10" t="n">
        <f aca="false">COUNTIFS(Cleaned_Data!F2:F1401,A22,Cleaned_Data!C2:C1401,"Control")</f>
        <v>155</v>
      </c>
      <c r="C22" s="10" t="n">
        <f aca="false">COUNTIFS(Cleaned_Data!F2:F1401,A22,Cleaned_Data!C2:C1401,"Treatment")</f>
        <v>176</v>
      </c>
      <c r="D22" s="12" t="n">
        <f aca="false">AVERAGEIFS(Cleaned_Data!K2:K1401,Cleaned_Data!F2:F1401,A22,Cleaned_Data!C2:C1401,"Control")</f>
        <v>0.0129032258064516</v>
      </c>
      <c r="E22" s="12" t="n">
        <f aca="false">AVERAGEIFS(Cleaned_Data!K2:K1401,Cleaned_Data!F2:F1401,A22,Cleaned_Data!C2:C1401,"Treatment")</f>
        <v>0.0625</v>
      </c>
      <c r="F22" s="12" t="n">
        <f aca="false">COUNTIFS(Cleaned_Data!F2:F1401,A22,Cleaned_Data!C2:C1401,"Control",Cleaned_Data!M2:M1401,"&gt;0")/B22</f>
        <v>0.187096774193548</v>
      </c>
      <c r="G22" s="12" t="n">
        <f aca="false">COUNTIFS(Cleaned_Data!F2:F1401,A22,Cleaned_Data!C2:C1401,"Treatment",Cleaned_Data!M2:M1401,"&gt;0")/C22</f>
        <v>0.221590909090909</v>
      </c>
    </row>
    <row r="23" customFormat="false" ht="15" hidden="false" customHeight="false" outlineLevel="0" collapsed="false">
      <c r="A23" s="3" t="s">
        <v>39</v>
      </c>
      <c r="B23" s="10" t="n">
        <f aca="false">COUNTIFS(Cleaned_Data!F2:F1401,A23,Cleaned_Data!C2:C1401,"Control")</f>
        <v>81</v>
      </c>
      <c r="C23" s="10" t="n">
        <f aca="false">COUNTIFS(Cleaned_Data!F2:F1401,A23,Cleaned_Data!C2:C1401,"Treatment")</f>
        <v>91</v>
      </c>
      <c r="D23" s="12" t="n">
        <f aca="false">AVERAGEIFS(Cleaned_Data!K2:K1401,Cleaned_Data!F2:F1401,A23,Cleaned_Data!C2:C1401,"Control")</f>
        <v>0.0246913580246914</v>
      </c>
      <c r="E23" s="12" t="n">
        <f aca="false">AVERAGEIFS(Cleaned_Data!K2:K1401,Cleaned_Data!F2:F1401,A23,Cleaned_Data!C2:C1401,"Treatment")</f>
        <v>0.10989010989011</v>
      </c>
      <c r="F23" s="12" t="n">
        <f aca="false">COUNTIFS(Cleaned_Data!F2:F1401,A23,Cleaned_Data!C2:C1401,"Control",Cleaned_Data!M2:M1401,"&gt;0")/B23</f>
        <v>0.123456790123457</v>
      </c>
      <c r="G23" s="12" t="n">
        <f aca="false">COUNTIFS(Cleaned_Data!F2:F1401,A23,Cleaned_Data!C2:C1401,"Treatment",Cleaned_Data!M2:M1401,"&gt;0")/C23</f>
        <v>0.285714285714286</v>
      </c>
    </row>
    <row r="24" customFormat="false" ht="15" hidden="false" customHeight="false" outlineLevel="0" collapsed="false">
      <c r="A24" s="3" t="s">
        <v>41</v>
      </c>
      <c r="B24" s="10" t="n">
        <f aca="false">COUNTIFS(Cleaned_Data!F2:F1401,A24,Cleaned_Data!C2:C1401,"Control")</f>
        <v>129</v>
      </c>
      <c r="C24" s="10" t="n">
        <f aca="false">COUNTIFS(Cleaned_Data!F2:F1401,A24,Cleaned_Data!C2:C1401,"Treatment")</f>
        <v>132</v>
      </c>
      <c r="D24" s="12" t="n">
        <f aca="false">AVERAGEIFS(Cleaned_Data!K2:K1401,Cleaned_Data!F2:F1401,A24,Cleaned_Data!C2:C1401,"Control")</f>
        <v>0.0775193798449612</v>
      </c>
      <c r="E24" s="12" t="n">
        <f aca="false">AVERAGEIFS(Cleaned_Data!K2:K1401,Cleaned_Data!F2:F1401,A24,Cleaned_Data!C2:C1401,"Treatment")</f>
        <v>0.0606060606060606</v>
      </c>
      <c r="F24" s="12" t="n">
        <f aca="false">COUNTIFS(Cleaned_Data!F2:F1401,A24,Cleaned_Data!C2:C1401,"Control",Cleaned_Data!M2:M1401,"&gt;0")/B24</f>
        <v>0.147286821705426</v>
      </c>
      <c r="G24" s="12" t="n">
        <f aca="false">COUNTIFS(Cleaned_Data!F2:F1401,A24,Cleaned_Data!C2:C1401,"Treatment",Cleaned_Data!M2:M1401,"&gt;0")/C24</f>
        <v>0.272727272727273</v>
      </c>
    </row>
    <row r="25" customFormat="false" ht="15" hidden="false" customHeight="false" outlineLevel="0" collapsed="false">
      <c r="A25" s="3" t="s">
        <v>156</v>
      </c>
      <c r="B25" s="10" t="n">
        <f aca="false">COUNTIFS(Cleaned_Data!F2:F1401,A25,Cleaned_Data!C2:C1401,"Control")</f>
        <v>6</v>
      </c>
      <c r="C25" s="10" t="n">
        <f aca="false">COUNTIFS(Cleaned_Data!F2:F1401,A25,Cleaned_Data!C2:C1401,"Treatment")</f>
        <v>18</v>
      </c>
      <c r="D25" s="12" t="n">
        <f aca="false">AVERAGEIFS(Cleaned_Data!K2:K1401,Cleaned_Data!F2:F1401,A25,Cleaned_Data!C2:C1401,"Control")</f>
        <v>0.166666666666667</v>
      </c>
      <c r="E25" s="12" t="n">
        <f aca="false">AVERAGEIFS(Cleaned_Data!K2:K1401,Cleaned_Data!F2:F1401,A25,Cleaned_Data!C2:C1401,"Treatment")</f>
        <v>0.111111111111111</v>
      </c>
      <c r="F25" s="12" t="n">
        <f aca="false">COUNTIFS(Cleaned_Data!F2:F1401,A25,Cleaned_Data!C2:C1401,"Control",Cleaned_Data!M2:M1401,"&gt;0")/B25</f>
        <v>0.333333333333333</v>
      </c>
      <c r="G25" s="12" t="n">
        <f aca="false">COUNTIFS(Cleaned_Data!F2:F1401,A25,Cleaned_Data!C2:C1401,"Treatment",Cleaned_Data!M2:M1401,"&gt;0")/C25</f>
        <v>0.111111111111111</v>
      </c>
    </row>
    <row r="27" customFormat="false" ht="15" hidden="false" customHeight="false" outlineLevel="0" collapsed="false">
      <c r="A27" s="17" t="s">
        <v>1478</v>
      </c>
      <c r="B27" s="17"/>
      <c r="C27" s="17"/>
      <c r="D27" s="17"/>
      <c r="E27" s="17"/>
      <c r="F27" s="17"/>
      <c r="G27" s="17"/>
    </row>
    <row r="28" customFormat="false" ht="30" hidden="false" customHeight="true" outlineLevel="0" collapsed="false">
      <c r="A28" s="7" t="s">
        <v>1469</v>
      </c>
      <c r="B28" s="7" t="s">
        <v>1470</v>
      </c>
      <c r="C28" s="7" t="s">
        <v>1471</v>
      </c>
      <c r="D28" s="7" t="s">
        <v>1472</v>
      </c>
      <c r="E28" s="7" t="s">
        <v>1473</v>
      </c>
      <c r="F28" s="7" t="s">
        <v>1474</v>
      </c>
      <c r="G28" s="7" t="s">
        <v>1475</v>
      </c>
    </row>
    <row r="29" customFormat="false" ht="15" hidden="false" customHeight="false" outlineLevel="0" collapsed="false">
      <c r="A29" s="3" t="s">
        <v>21</v>
      </c>
      <c r="B29" s="10" t="n">
        <f aca="false">COUNTIFS(Cleaned_Data!G2:G1401,A29,Cleaned_Data!C2:C1401,"Control")</f>
        <v>221</v>
      </c>
      <c r="C29" s="10" t="n">
        <f aca="false">COUNTIFS(Cleaned_Data!G2:G1401,A29,Cleaned_Data!C2:C1401,"Treatment")</f>
        <v>232</v>
      </c>
      <c r="D29" s="12" t="n">
        <f aca="false">AVERAGEIFS(Cleaned_Data!K2:K1401,Cleaned_Data!G2:G1401,A29,Cleaned_Data!C2:C1401,"Control")</f>
        <v>0.0361990950226244</v>
      </c>
      <c r="E29" s="12" t="n">
        <f aca="false">AVERAGEIFS(Cleaned_Data!K2:K1401,Cleaned_Data!G2:G1401,A29,Cleaned_Data!C2:C1401,"Treatment")</f>
        <v>0.0387931034482759</v>
      </c>
      <c r="F29" s="12" t="n">
        <f aca="false">COUNTIFS(Cleaned_Data!G2:G1401,A29,Cleaned_Data!C2:C1401,"Control",Cleaned_Data!M2:M1401,"&gt;0")/B29</f>
        <v>0.144796380090498</v>
      </c>
      <c r="G29" s="12" t="n">
        <f aca="false">COUNTIFS(Cleaned_Data!G2:G1401,A29,Cleaned_Data!C2:C1401,"Treatment",Cleaned_Data!M2:M1401,"&gt;0")/C29</f>
        <v>0.25</v>
      </c>
    </row>
    <row r="30" customFormat="false" ht="15" hidden="false" customHeight="false" outlineLevel="0" collapsed="false">
      <c r="A30" s="3" t="s">
        <v>26</v>
      </c>
      <c r="B30" s="10" t="n">
        <f aca="false">COUNTIFS(Cleaned_Data!G2:G1401,A30,Cleaned_Data!C2:C1401,"Control")</f>
        <v>360</v>
      </c>
      <c r="C30" s="10" t="n">
        <f aca="false">COUNTIFS(Cleaned_Data!G2:G1401,A30,Cleaned_Data!C2:C1401,"Treatment")</f>
        <v>366</v>
      </c>
      <c r="D30" s="12" t="n">
        <f aca="false">AVERAGEIFS(Cleaned_Data!K2:K1401,Cleaned_Data!G2:G1401,A30,Cleaned_Data!C2:C1401,"Control")</f>
        <v>0.0305555555555556</v>
      </c>
      <c r="E30" s="12" t="n">
        <f aca="false">AVERAGEIFS(Cleaned_Data!K2:K1401,Cleaned_Data!G2:G1401,A30,Cleaned_Data!C2:C1401,"Treatment")</f>
        <v>0.092896174863388</v>
      </c>
      <c r="F30" s="12" t="n">
        <f aca="false">COUNTIFS(Cleaned_Data!G2:G1401,A30,Cleaned_Data!C2:C1401,"Control",Cleaned_Data!M2:M1401,"&gt;0")/B30</f>
        <v>0.122222222222222</v>
      </c>
      <c r="G30" s="12" t="n">
        <f aca="false">COUNTIFS(Cleaned_Data!G2:G1401,A30,Cleaned_Data!C2:C1401,"Treatment",Cleaned_Data!M2:M1401,"&gt;0")/C30</f>
        <v>0.240437158469945</v>
      </c>
    </row>
    <row r="31" customFormat="false" ht="15" hidden="false" customHeight="false" outlineLevel="0" collapsed="false">
      <c r="A31" s="3" t="s">
        <v>30</v>
      </c>
      <c r="B31" s="10" t="n">
        <f aca="false">COUNTIFS(Cleaned_Data!G2:G1401,A31,Cleaned_Data!C2:C1401,"Control")</f>
        <v>109</v>
      </c>
      <c r="C31" s="10" t="n">
        <f aca="false">COUNTIFS(Cleaned_Data!G2:G1401,A31,Cleaned_Data!C2:C1401,"Treatment")</f>
        <v>112</v>
      </c>
      <c r="D31" s="12" t="n">
        <f aca="false">AVERAGEIFS(Cleaned_Data!K2:K1401,Cleaned_Data!G2:G1401,A31,Cleaned_Data!C2:C1401,"Control")</f>
        <v>0.0275229357798165</v>
      </c>
      <c r="E31" s="12" t="n">
        <f aca="false">AVERAGEIFS(Cleaned_Data!K2:K1401,Cleaned_Data!G2:G1401,A31,Cleaned_Data!C2:C1401,"Treatment")</f>
        <v>0.0625</v>
      </c>
      <c r="F31" s="12" t="n">
        <f aca="false">COUNTIFS(Cleaned_Data!G2:G1401,A31,Cleaned_Data!C2:C1401,"Control",Cleaned_Data!M2:M1401,"&gt;0")/B31</f>
        <v>0.238532110091743</v>
      </c>
      <c r="G31" s="12" t="n">
        <f aca="false">COUNTIFS(Cleaned_Data!G2:G1401,A31,Cleaned_Data!C2:C1401,"Treatment",Cleaned_Data!M2:M1401,"&gt;0")/C31</f>
        <v>0.267857142857143</v>
      </c>
    </row>
    <row r="33" customFormat="false" ht="15" hidden="false" customHeight="false" outlineLevel="0" collapsed="false">
      <c r="A33" s="17" t="s">
        <v>1479</v>
      </c>
      <c r="B33" s="17"/>
      <c r="C33" s="17"/>
      <c r="D33" s="17"/>
      <c r="E33" s="17"/>
      <c r="F33" s="17"/>
      <c r="G33" s="17"/>
    </row>
    <row r="34" customFormat="false" ht="30" hidden="false" customHeight="true" outlineLevel="0" collapsed="false">
      <c r="A34" s="7" t="s">
        <v>1480</v>
      </c>
      <c r="B34" s="7" t="s">
        <v>1470</v>
      </c>
      <c r="C34" s="7" t="s">
        <v>1471</v>
      </c>
      <c r="D34" s="7" t="s">
        <v>1481</v>
      </c>
      <c r="E34" s="7" t="s">
        <v>1482</v>
      </c>
      <c r="F34" s="7" t="s">
        <v>1483</v>
      </c>
      <c r="G34" s="7" t="s">
        <v>1484</v>
      </c>
    </row>
    <row r="35" customFormat="false" ht="15" hidden="false" customHeight="false" outlineLevel="0" collapsed="false">
      <c r="A35" s="3" t="s">
        <v>28</v>
      </c>
      <c r="B35" s="10" t="n">
        <f aca="false">COUNTIFS(Cleaned_Data!D2:D1401,A35,Cleaned_Data!C2:C1401,"Control")</f>
        <v>157</v>
      </c>
      <c r="C35" s="10" t="n">
        <f aca="false">COUNTIFS(Cleaned_Data!D2:D1401,A35,Cleaned_Data!C2:C1401,"Treatment")</f>
        <v>170</v>
      </c>
      <c r="D35" s="15" t="n">
        <f aca="false">AVERAGEIFS(Cleaned_Data!P2:P1401,Cleaned_Data!D2:D1401,A35,Cleaned_Data!C2:C1401,"Control")</f>
        <v>56.556050955414</v>
      </c>
      <c r="E35" s="15" t="n">
        <f aca="false">AVERAGEIFS(Cleaned_Data!P2:P1401,Cleaned_Data!D2:D1401,A35,Cleaned_Data!C2:C1401,"Treatment")</f>
        <v>63.3076923076923</v>
      </c>
      <c r="F35" s="14" t="n">
        <f aca="false">AVERAGEIFS(Cleaned_Data!N2:N1401,Cleaned_Data!D2:D1401,A35,Cleaned_Data!C2:C1401,"Control")</f>
        <v>0</v>
      </c>
      <c r="G35" s="14" t="n">
        <f aca="false">AVERAGEIFS(Cleaned_Data!N2:N1401,Cleaned_Data!D2:D1401,A35,Cleaned_Data!C2:C1401,"Treatment")</f>
        <v>0.00588235294117647</v>
      </c>
    </row>
    <row r="36" customFormat="false" ht="15" hidden="false" customHeight="false" outlineLevel="0" collapsed="false">
      <c r="A36" s="3" t="s">
        <v>18</v>
      </c>
      <c r="B36" s="10" t="n">
        <f aca="false">COUNTIFS(Cleaned_Data!D2:D1401,A36,Cleaned_Data!C2:C1401,"Control")</f>
        <v>201</v>
      </c>
      <c r="C36" s="10" t="n">
        <f aca="false">COUNTIFS(Cleaned_Data!D2:D1401,A36,Cleaned_Data!C2:C1401,"Treatment")</f>
        <v>180</v>
      </c>
      <c r="D36" s="15" t="n">
        <f aca="false">AVERAGEIFS(Cleaned_Data!P2:P1401,Cleaned_Data!D2:D1401,A36,Cleaned_Data!C2:C1401,"Control")</f>
        <v>57.6166666666667</v>
      </c>
      <c r="E36" s="15" t="n">
        <f aca="false">AVERAGEIFS(Cleaned_Data!P2:P1401,Cleaned_Data!D2:D1401,A36,Cleaned_Data!C2:C1401,"Treatment")</f>
        <v>63.1539772727273</v>
      </c>
      <c r="F36" s="14" t="n">
        <f aca="false">AVERAGEIFS(Cleaned_Data!N2:N1401,Cleaned_Data!D2:D1401,A36,Cleaned_Data!C2:C1401,"Control")</f>
        <v>0</v>
      </c>
      <c r="G36" s="14" t="n">
        <f aca="false">AVERAGEIFS(Cleaned_Data!N2:N1401,Cleaned_Data!D2:D1401,A36,Cleaned_Data!C2:C1401,"Treatment")</f>
        <v>0</v>
      </c>
    </row>
    <row r="37" customFormat="false" ht="15" hidden="false" customHeight="false" outlineLevel="0" collapsed="false">
      <c r="A37" s="3" t="s">
        <v>32</v>
      </c>
      <c r="B37" s="10" t="n">
        <f aca="false">COUNTIFS(Cleaned_Data!D2:D1401,A37,Cleaned_Data!C2:C1401,"Control")</f>
        <v>184</v>
      </c>
      <c r="C37" s="10" t="n">
        <f aca="false">COUNTIFS(Cleaned_Data!D2:D1401,A37,Cleaned_Data!C2:C1401,"Treatment")</f>
        <v>183</v>
      </c>
      <c r="D37" s="15" t="n">
        <f aca="false">AVERAGEIFS(Cleaned_Data!P2:P1401,Cleaned_Data!D2:D1401,A37,Cleaned_Data!C2:C1401,"Control")</f>
        <v>56.9049723756906</v>
      </c>
      <c r="E37" s="15" t="n">
        <f aca="false">AVERAGEIFS(Cleaned_Data!P2:P1401,Cleaned_Data!D2:D1401,A37,Cleaned_Data!C2:C1401,"Treatment")</f>
        <v>62.1132596685083</v>
      </c>
      <c r="F37" s="14" t="n">
        <f aca="false">AVERAGEIFS(Cleaned_Data!N2:N1401,Cleaned_Data!D2:D1401,A37,Cleaned_Data!C2:C1401,"Control")</f>
        <v>0</v>
      </c>
      <c r="G37" s="14" t="n">
        <f aca="false">AVERAGEIFS(Cleaned_Data!N2:N1401,Cleaned_Data!D2:D1401,A37,Cleaned_Data!C2:C1401,"Treatment")</f>
        <v>0</v>
      </c>
    </row>
    <row r="38" customFormat="false" ht="15" hidden="false" customHeight="false" outlineLevel="0" collapsed="false">
      <c r="A38" s="3" t="s">
        <v>23</v>
      </c>
      <c r="B38" s="10" t="n">
        <f aca="false">COUNTIFS(Cleaned_Data!D2:D1401,A38,Cleaned_Data!C2:C1401,"Control")</f>
        <v>148</v>
      </c>
      <c r="C38" s="10" t="n">
        <f aca="false">COUNTIFS(Cleaned_Data!D2:D1401,A38,Cleaned_Data!C2:C1401,"Treatment")</f>
        <v>177</v>
      </c>
      <c r="D38" s="15" t="n">
        <f aca="false">AVERAGEIFS(Cleaned_Data!P2:P1401,Cleaned_Data!D2:D1401,A38,Cleaned_Data!C2:C1401,"Control")</f>
        <v>56.8986486486486</v>
      </c>
      <c r="E38" s="15" t="n">
        <f aca="false">AVERAGEIFS(Cleaned_Data!P2:P1401,Cleaned_Data!D2:D1401,A38,Cleaned_Data!C2:C1401,"Treatment")</f>
        <v>63.2232954545455</v>
      </c>
      <c r="F38" s="14" t="n">
        <f aca="false">AVERAGEIFS(Cleaned_Data!N2:N1401,Cleaned_Data!D2:D1401,A38,Cleaned_Data!C2:C1401,"Control")</f>
        <v>0</v>
      </c>
      <c r="G38" s="14" t="n">
        <f aca="false">AVERAGEIFS(Cleaned_Data!N2:N1401,Cleaned_Data!D2:D1401,A38,Cleaned_Data!C2:C1401,"Treatment")</f>
        <v>0.0112994350282486</v>
      </c>
    </row>
  </sheetData>
  <mergeCells count="5">
    <mergeCell ref="A4:G4"/>
    <mergeCell ref="A11:G11"/>
    <mergeCell ref="A18:G18"/>
    <mergeCell ref="A27:G27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"/>
    <col collapsed="false" customWidth="true" hidden="false" outlineLevel="0" max="3" min="3" style="1" width="18"/>
    <col collapsed="false" customWidth="true" hidden="false" outlineLevel="0" max="4" min="4" style="1" width="40"/>
  </cols>
  <sheetData>
    <row r="1" customFormat="false" ht="17.35" hidden="false" customHeight="false" outlineLevel="0" collapsed="false">
      <c r="A1" s="5" t="s">
        <v>1485</v>
      </c>
    </row>
    <row r="2" customFormat="false" ht="15" hidden="false" customHeight="false" outlineLevel="0" collapsed="false">
      <c r="A2" s="6" t="s">
        <v>1486</v>
      </c>
    </row>
    <row r="4" customFormat="false" ht="15" hidden="false" customHeight="false" outlineLevel="0" collapsed="false">
      <c r="A4" s="17" t="s">
        <v>1487</v>
      </c>
      <c r="B4" s="17"/>
      <c r="C4" s="17"/>
      <c r="D4" s="17"/>
    </row>
    <row r="6" customFormat="false" ht="15" hidden="false" customHeight="false" outlineLevel="0" collapsed="false">
      <c r="A6" s="18" t="s">
        <v>1488</v>
      </c>
      <c r="C6" s="19" t="s">
        <v>1489</v>
      </c>
    </row>
    <row r="7" customFormat="false" ht="15" hidden="false" customHeight="false" outlineLevel="0" collapsed="false">
      <c r="A7" s="18" t="s">
        <v>1490</v>
      </c>
      <c r="C7" s="19" t="s">
        <v>1491</v>
      </c>
    </row>
    <row r="8" customFormat="false" ht="15" hidden="false" customHeight="false" outlineLevel="0" collapsed="false">
      <c r="A8" s="18" t="s">
        <v>1492</v>
      </c>
      <c r="C8" s="19" t="s">
        <v>1493</v>
      </c>
    </row>
    <row r="9" customFormat="false" ht="15" hidden="false" customHeight="false" outlineLevel="0" collapsed="false">
      <c r="A9" s="18" t="s">
        <v>1494</v>
      </c>
      <c r="C9" s="19" t="s">
        <v>1495</v>
      </c>
    </row>
    <row r="10" customFormat="false" ht="15" hidden="false" customHeight="false" outlineLevel="0" collapsed="false">
      <c r="A10" s="18" t="s">
        <v>1496</v>
      </c>
      <c r="C10" s="20" t="n">
        <v>0.05</v>
      </c>
      <c r="D10" s="9" t="s">
        <v>1497</v>
      </c>
    </row>
    <row r="12" customFormat="false" ht="15" hidden="false" customHeight="false" outlineLevel="0" collapsed="false">
      <c r="A12" s="17" t="s">
        <v>1498</v>
      </c>
      <c r="B12" s="17"/>
      <c r="C12" s="17"/>
      <c r="D12" s="17"/>
    </row>
    <row r="14" customFormat="false" ht="15" hidden="false" customHeight="false" outlineLevel="0" collapsed="false">
      <c r="A14" s="18" t="s">
        <v>1499</v>
      </c>
      <c r="C14" s="21" t="n">
        <f aca="false">COUNTIF(Cleaned_Data!C2:C1401,"Control")</f>
        <v>690</v>
      </c>
    </row>
    <row r="15" customFormat="false" ht="15" hidden="false" customHeight="false" outlineLevel="0" collapsed="false">
      <c r="A15" s="18" t="s">
        <v>1500</v>
      </c>
      <c r="C15" s="21" t="n">
        <f aca="false">COUNTIF(Cleaned_Data!C2:C1401,"Treatment")</f>
        <v>710</v>
      </c>
    </row>
    <row r="16" customFormat="false" ht="15" hidden="false" customHeight="false" outlineLevel="0" collapsed="false">
      <c r="A16" s="18" t="s">
        <v>1501</v>
      </c>
      <c r="C16" s="21" t="n">
        <f aca="false">COUNTIFS(Cleaned_Data!C2:C1401,"Control",Cleaned_Data!K2:K1401,1)</f>
        <v>22</v>
      </c>
    </row>
    <row r="17" customFormat="false" ht="15" hidden="false" customHeight="false" outlineLevel="0" collapsed="false">
      <c r="A17" s="18" t="s">
        <v>1502</v>
      </c>
      <c r="C17" s="21" t="n">
        <f aca="false">COUNTIFS(Cleaned_Data!C2:C1401,"Treatment",Cleaned_Data!K2:K1401,1)</f>
        <v>50</v>
      </c>
    </row>
    <row r="19" customFormat="false" ht="15" hidden="false" customHeight="false" outlineLevel="0" collapsed="false">
      <c r="A19" s="17" t="s">
        <v>1503</v>
      </c>
      <c r="B19" s="17"/>
      <c r="C19" s="17"/>
      <c r="D19" s="17"/>
    </row>
    <row r="21" customFormat="false" ht="15" hidden="false" customHeight="false" outlineLevel="0" collapsed="false">
      <c r="A21" s="18" t="s">
        <v>1504</v>
      </c>
      <c r="C21" s="22" t="n">
        <f aca="false">C16/C14</f>
        <v>0.0318840579710145</v>
      </c>
    </row>
    <row r="22" customFormat="false" ht="15" hidden="false" customHeight="false" outlineLevel="0" collapsed="false">
      <c r="A22" s="18" t="s">
        <v>1505</v>
      </c>
      <c r="C22" s="22" t="n">
        <f aca="false">C17/C15</f>
        <v>0.0704225352112676</v>
      </c>
    </row>
    <row r="23" customFormat="false" ht="15" hidden="false" customHeight="false" outlineLevel="0" collapsed="false">
      <c r="A23" s="18" t="s">
        <v>1506</v>
      </c>
      <c r="C23" s="22" t="n">
        <f aca="false">(C16+C17)/(C14+C15)</f>
        <v>0.0514285714285714</v>
      </c>
    </row>
    <row r="24" customFormat="false" ht="15" hidden="false" customHeight="false" outlineLevel="0" collapsed="false">
      <c r="A24" s="18" t="s">
        <v>1507</v>
      </c>
      <c r="C24" s="23" t="n">
        <f aca="false">SQRT(C23*(1-C23)*(1/C14+1/C15))</f>
        <v>0.0118072170851242</v>
      </c>
    </row>
    <row r="25" customFormat="false" ht="15" hidden="false" customHeight="false" outlineLevel="0" collapsed="false">
      <c r="A25" s="18" t="s">
        <v>1508</v>
      </c>
      <c r="C25" s="24" t="n">
        <f aca="false">(C22-C21)/C24</f>
        <v>3.26397634280878</v>
      </c>
    </row>
    <row r="26" customFormat="false" ht="15" hidden="false" customHeight="false" outlineLevel="0" collapsed="false">
      <c r="A26" s="18" t="s">
        <v>1509</v>
      </c>
      <c r="C26" s="23" t="n">
        <f aca="false">1-_xlfn.NORM.S.DIST(C25,TRUE())</f>
        <v>0.00054930169094658</v>
      </c>
    </row>
    <row r="27" customFormat="false" ht="15" hidden="false" customHeight="false" outlineLevel="0" collapsed="false">
      <c r="A27" s="18" t="s">
        <v>1510</v>
      </c>
      <c r="C27" s="23" t="n">
        <f aca="false">2*(1-_xlfn.NORM.S.DIST(ABS(C25),TRUE()))</f>
        <v>0.00109860338189316</v>
      </c>
    </row>
    <row r="28" customFormat="false" ht="15" hidden="false" customHeight="false" outlineLevel="0" collapsed="false">
      <c r="A28" s="18" t="s">
        <v>1511</v>
      </c>
      <c r="C28" s="25" t="n">
        <f aca="false">C22-C21</f>
        <v>0.0385384772402531</v>
      </c>
    </row>
    <row r="29" customFormat="false" ht="15" hidden="false" customHeight="false" outlineLevel="0" collapsed="false">
      <c r="A29" s="18" t="s">
        <v>1512</v>
      </c>
      <c r="C29" s="25" t="n">
        <f aca="false">(C22-C21)-1.96*SQRT((C21*(1-C21))/C14+(C22*(1-C22))/C15)</f>
        <v>0.0156025283596675</v>
      </c>
    </row>
    <row r="30" customFormat="false" ht="15" hidden="false" customHeight="false" outlineLevel="0" collapsed="false">
      <c r="A30" s="18" t="s">
        <v>1513</v>
      </c>
      <c r="C30" s="25" t="n">
        <f aca="false">(C22-C21)+1.96*SQRT((C21*(1-C21))/C14+(C22*(1-C22))/C15)</f>
        <v>0.0614744261208387</v>
      </c>
    </row>
    <row r="31" customFormat="false" ht="15" hidden="false" customHeight="false" outlineLevel="0" collapsed="false">
      <c r="A31" s="18" t="s">
        <v>1514</v>
      </c>
      <c r="C31" s="26" t="n">
        <f aca="false">(C22-C21)/C21</f>
        <v>1.20870678617158</v>
      </c>
    </row>
    <row r="33" customFormat="false" ht="15" hidden="false" customHeight="false" outlineLevel="0" collapsed="false">
      <c r="A33" s="17" t="s">
        <v>1515</v>
      </c>
      <c r="B33" s="17"/>
      <c r="C33" s="17"/>
      <c r="D33" s="17"/>
    </row>
    <row r="35" customFormat="false" ht="15" hidden="false" customHeight="false" outlineLevel="0" collapsed="false">
      <c r="A35" s="18" t="s">
        <v>1516</v>
      </c>
      <c r="C35" s="27" t="str">
        <f aca="false">IF(C26&lt;C10,"REJECT H0 — statistically significant improvement","FAIL TO REJECT H0 — no significant improvement")</f>
        <v>REJECT H0 — statistically significant improvement</v>
      </c>
      <c r="D35" s="27"/>
      <c r="E35" s="27"/>
    </row>
    <row r="37" customFormat="false" ht="60" hidden="false" customHeight="true" outlineLevel="0" collapsed="false">
      <c r="A37" s="28" t="str">
        <f aca="false">"With "&amp;TEXT(C14,"#,##0")&amp;" Control and "&amp;TEXT(C15,"#,##0")&amp;" Treatment users, conversion rose from "&amp;TEXT(C21,"0.00%")&amp;" to "&amp;TEXT(C22,"0.00%")&amp;" (z = "&amp;TEXT(C25,"0.00")&amp;", one-tailed p = "&amp;TEXT(C26,"0.0000")&amp;"). The result is statistically significant at the "&amp;TEXT(C10,"0%")&amp;" level: the treatment effect on paid conversion is very unlikely to be due to random chance."</f>
        <v>With 690 Control and 710 Treatment users, conversion rose from 3.19% to 7.04% (z = 3.26, one-tailed p = 0.0005). The result is statistically significant at the 5% level: the treatment effect on paid conversion is very unlikely to be due to random chance.</v>
      </c>
      <c r="B37" s="28"/>
      <c r="C37" s="28"/>
      <c r="D37" s="28"/>
      <c r="E37" s="28"/>
      <c r="F37" s="28"/>
      <c r="G37" s="28"/>
    </row>
    <row r="38" customFormat="false" ht="15" hidden="false" customHeight="false" outlineLevel="0" collapsed="false">
      <c r="A38" s="28"/>
      <c r="B38" s="28"/>
      <c r="C38" s="28"/>
      <c r="D38" s="28"/>
      <c r="E38" s="28"/>
      <c r="F38" s="28"/>
      <c r="G38" s="28"/>
    </row>
    <row r="39" customFormat="false" ht="15" hidden="false" customHeight="false" outlineLevel="0" collapsed="false">
      <c r="A39" s="28"/>
      <c r="B39" s="28"/>
      <c r="C39" s="28"/>
      <c r="D39" s="28"/>
      <c r="E39" s="28"/>
      <c r="F39" s="28"/>
      <c r="G39" s="28"/>
    </row>
  </sheetData>
  <mergeCells count="6">
    <mergeCell ref="A4:D4"/>
    <mergeCell ref="A12:D12"/>
    <mergeCell ref="A19:D19"/>
    <mergeCell ref="A33:D33"/>
    <mergeCell ref="C35:E35"/>
    <mergeCell ref="A37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2026-06-27T12:14:17Z</dcterms:created>
  <dc:creator>openpyxl</dc:creator>
  <dc:description/>
  <dc:language>en-US</dc:language>
  <cp:lastModifiedBy/>
  <dcterms:modified xsi:type="dcterms:W3CDTF">2026-06-27T12:14:19Z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