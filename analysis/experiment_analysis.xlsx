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ta_Quality_Checks" sheetId="2" state="visible" r:id="rId4"/>
    <sheet name="Cleaned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<sst xmlns="http://schemas.openxmlformats.org/spreadsheetml/2006/main" count="16920" uniqueCount="1486">
  <si>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</si>
  <si>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</si>
  <si>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</si>
  <si>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</si>
  <si>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</si>
  <si>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</si>
  <si>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</si>
  <si>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</si>
  <si>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</si>
  <si>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</si>
  <si>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</si>
  <si>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</si>
  <si>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</si>
  <si>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</si>
  <si>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</si>
  <si>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</si>
  <si>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</si>
  <si>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</si>
  <si>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</si>
  <si>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</si>
  <si>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</si>
  <si>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</si>
  <si>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</si>
  <si>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</si>
  <si>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</si>
  <si>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</si>
  <si>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</si>
  <si>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</si>
  <si>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</si>
  <si>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</si>
  <si>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</si>
  <si>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</si>
  <si>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</si>
  <si>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</si>
  <si>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</si>
  <si>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</si>
  <si>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</si>
  <si>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</si>
  <si>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</si>
  <si>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</si>
  <si>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</si>
  <si>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</si>
  <si>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</si>
  <si>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</si>
  <si>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</si>
  <si>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</si>
  <si>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</si>
  <si>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</si>
  <si>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</si>
  <si>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</si>
  <si>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</si>
  <si>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</si>
  <si>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</si>
  <si>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</si>
  <si>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</si>
  <si>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</si>
  <si>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</si>
  <si>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</si>
  <si>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</si>
  <si>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</si>
  <si>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</si>
  <si>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</si>
  <si>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</si>
  <si>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</si>
  <si>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</si>
  <si>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</si>
  <si>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</si>
  <si>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</si>
  <si>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</si>
  <si>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</si>
  <si>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</si>
  <si>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</si>
  <si>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</si>
  <si>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</si>
  <si>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</si>
  <si>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</si>
  <si>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</si>
  <si>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</si>
  <si>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</si>
  <si>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</si>
  <si>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</si>
  <si>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</si>
  <si>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</si>
  <si>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</si>
  <si>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</si>
  <si>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</si>
  <si>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</si>
  <si>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</si>
  <si>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</si>
  <si>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</si>
  <si>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</si>
  <si>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</si>
  <si>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</si>
  <si>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</si>
  <si>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</si>
  <si>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</si>
  <si>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</si>
  <si>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</si>
  <si>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</si>
  <si>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</si>
  <si>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</si>
  <si>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</si>
  <si>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</si>
  <si>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</si>
  <si>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</si>
  <si>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</si>
  <si>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</si>
  <si>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</si>
  <si>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</si>
  <si>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</si>
  <si>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</si>
  <si>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</si>
  <si>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</si>
  <si>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</si>
  <si>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</si>
  <si>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</si>
  <si>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</si>
  <si>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</si>
  <si>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</si>
  <si>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</si>
  <si>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</si>
  <si>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</si>
  <si>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</si>
  <si>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</si>
  <si>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</si>
  <si>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</si>
  <si>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</si>
  <si>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</si>
  <si>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</si>
  <si>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</si>
  <si>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</si>
  <si>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</si>
  <si>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</si>
  <si>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</si>
  <si>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</si>
  <si>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</si>
  <si>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</si>
  <si>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</si>
  <si>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</si>
  <si>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</si>
  <si>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</si>
  <si>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</si>
  <si>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</si>
  <si>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</si>
  <si>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</si>
  <si>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</si>
  <si>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</si>
  <si>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</si>
  <si>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</si>
  <si>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</si>
  <si>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</si>
  <si>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</si>
  <si>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</si>
  <si>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</si>
  <si>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</si>
  <si>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</si>
  <si>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</si>
  <si>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</si>
  <si>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</si>
  <si>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</si>
  <si>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</si>
  <si>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</si>
  <si>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</si>
  <si>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</si>
  <si>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</si>
  <si>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</si>
  <si>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</si>
  <si>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</si>
  <si>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</si>
  <si>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</si>
  <si>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</si>
  <si>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</si>
  <si>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</si>
  <si>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</si>
  <si>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</si>
  <si>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</si>
  <si>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</si>
  <si>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</si>
  <si>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</si>
  <si>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</si>
  <si>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</si>
  <si>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</si>
  <si>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</si>
  <si>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</si>
  <si>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</si>
  <si>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</si>
  <si>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</si>
  <si>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</si>
  <si>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</si>
  <si>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</si>
  <si>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</si>
  <si>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</si>
  <si>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</si>
  <si>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</si>
  <si>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</si>
  <si>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</si>
  <si>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</si>
  <si>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</si>
  <si>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</si>
  <si>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</si>
  <si>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</si>
  <si>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</si>
  <si>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</si>
  <si>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</si>
  <si>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</si>
  <si>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</si>
  <si>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</si>
  <si>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</si>
  <si>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</si>
  <si>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</si>
  <si>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</si>
  <si>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</si>
  <si>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</si>
  <si>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</si>
  <si>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</si>
  <si>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</si>
  <si>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</si>
  <si>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</si>
  <si>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</si>
  <si>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</si>
  <si>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</si>
  <si>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</si>
  <si>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</si>
  <si>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</si>
  <si>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</si>
  <si>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</si>
  <si>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</si>
  <si>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</si>
  <si>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</si>
  <si>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</si>
  <si>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</si>
  <si>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</si>
  <si>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</si>
  <si>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</si>
  <si>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</si>
  <si>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</si>
  <si>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</si>
  <si>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</si>
  <si>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</si>
  <si>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</si>
  <si>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</si>
  <si>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</si>
  <si>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</si>
  <si>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</si>
  <si>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</si>
  <si>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</si>
  <si>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</si>
  <si>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</si>
  <si>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</si>
  <si>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</si>
  <si>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</si>
  <si>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</si>
  <si>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</si>
  <si>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</si>
  <si>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</si>
  <si>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</si>
  <si>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</si>
  <si>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</si>
  <si>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</si>
  <si>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</si>
  <si>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</si>
  <si>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</si>
  <si>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</si>
  <si>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</si>
  <si>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</si>
  <si>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</si>
  <si>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</si>
  <si>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</si>
  <si>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</si>
  <si>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</si>
  <si>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</si>
  <si>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</si>
  <si>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</si>
  <si>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</si>
  <si>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</si>
  <si>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</si>
  <si>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</si>
  <si>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</si>
  <si>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</si>
  <si>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</si>
  <si>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</si>
  <si>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</si>
  <si>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</si>
  <si>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</si>
  <si>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</si>
  <si>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</si>
  <si>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</si>
  <si>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</si>
  <si>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</si>
  <si>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</si>
  <si>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</si>
  <si>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</si>
  <si>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</si>
  <si>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</si>
  <si>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</si>
  <si>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</si>
  <si>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</si>
  <si>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</si>
  <si>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</si>
  <si>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</si>
  <si>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</si>
  <si>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</si>
  <si>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</si>
  <si>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</si>
  <si>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</si>
  <si>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</si>
  <si>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</si>
  <si>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</si>
  <si>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</si>
  <si>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</si>
  <si>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</si>
  <si>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</si>
  <si>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</si>
  <si>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</si>
  <si>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</si>
  <si>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</si>
  <si>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</si>
  <si>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</si>
  <si>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</si>
  <si>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</si>
  <si>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</si>
  <si>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</si>
  <si>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</si>
  <si>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</si>
  <si>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</si>
  <si>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</si>
  <si>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</si>
  <si>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</si>
  <si>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</si>
  <si>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</si>
  <si>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</si>
  <si>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</si>
  <si>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</si>
  <si>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</si>
  <si>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</si>
  <si>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</si>
  <si>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</si>
  <si>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</si>
  <si>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</si>
  <si>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</si>
  <si>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</si>
  <si>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</si>
  <si>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</si>
  <si>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</si>
  <si>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</si>
  <si>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</si>
  <si>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</si>
  <si>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</si>
  <si>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</si>
  <si>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</si>
  <si>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</si>
  <si>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</si>
  <si>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</si>
  <si>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</si>
  <si>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</si>
  <si>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</si>
  <si>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</si>
  <si>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</si>
  <si>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</si>
  <si>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</si>
  <si>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</si>
  <si>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</si>
  <si>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</si>
  <si>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</si>
  <si>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</si>
  <si>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</si>
  <si>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</si>
  <si>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</si>
  <si>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</si>
  <si>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</si>
  <si>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</si>
  <si>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</si>
  <si>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</si>
  <si>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</si>
  <si>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</si>
  <si>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</si>
  <si>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</si>
  <si>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</si>
  <si>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</si>
  <si>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</si>
  <si>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</si>
  <si>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</si>
  <si>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</si>
  <si>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</si>
  <si>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</si>
  <si>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</si>
  <si>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</si>
  <si>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</si>
  <si>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</si>
  <si>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</si>
  <si>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</si>
  <si>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</si>
  <si>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</si>
  <si>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</si>
  <si>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</si>
  <si>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</si>
  <si>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</si>
  <si>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</si>
  <si>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</si>
  <si>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</si>
  <si>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</si>
  <si>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</si>
  <si>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</si>
  <si>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</si>
  <si>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</si>
  <si>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</si>
  <si>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</si>
  <si>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</si>
  <si>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</si>
  <si>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</si>
  <si>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</si>
  <si>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</si>
  <si>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</si>
  <si>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</si>
  <si>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</si>
  <si>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</si>
  <si>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</si>
  <si>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</si>
  <si>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</si>
  <si>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</si>
  <si>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</si>
  <si>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</si>
  <si>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</si>
  <si>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</si>
  <si>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</si>
  <si>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</si>
  <si>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</si>
  <si>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</si>
  <si>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</si>
  <si>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</si>
  <si>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</si>
  <si>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</si>
  <si>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</si>
  <si>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</si>
  <si>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</si>
  <si>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</si>
  <si>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</si>
  <si>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</si>
  <si>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</si>
  <si>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</si>
  <si>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</si>
  <si>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</si>
  <si>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</si>
  <si>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</si>
  <si>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</si>
  <si>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</si>
  <si>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</si>
  <si>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</si>
  <si>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</si>
  <si>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</si>
  <si>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</si>
  <si>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</si>
  <si>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</si>
  <si>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</si>
  <si>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</si>
  <si>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</si>
  <si>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</si>
  <si>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</si>
  <si>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</si>
  <si>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</si>
  <si>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</si>
  <si>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</si>
  <si>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</si>
  <si>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</si>
  <si>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</si>
  <si>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</si>
  <si>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</si>
  <si>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</si>
  <si>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</si>
  <si>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</si>
  <si>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</si>
  <si>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</si>
  <si>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</si>
  <si>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</si>
  <si>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</si>
  <si>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</si>
  <si>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</si>
  <si>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</si>
  <si>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</si>
  <si>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</si>
  <si>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</si>
  <si>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</si>
  <si>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</si>
  <si>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</si>
  <si>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</si>
  <si>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</si>
  <si>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</si>
  <si>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</si>
  <si>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</si>
  <si>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</si>
  <si>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</si>
  <si>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</si>
  <si>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</si>
  <si>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</si>
  <si>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</si>
  <si>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</si>
  <si>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</si>
  <si>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</si>
  <si>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</si>
  <si>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</si>
  <si>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</si>
  <si>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</si>
  <si>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</si>
  <si>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</si>
  <si>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</si>
  <si>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</si>
  <si>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</si>
  <si>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</si>
  <si>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</si>
  <si>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</si>
  <si>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</si>
  <si>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</si>
  <si>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</si>
  <si>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</si>
  <si>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</si>
  <si>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</si>
  <si>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</si>
  <si>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</si>
  <si>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</si>
  <si>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</si>
  <si>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</si>
  <si>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</si>
  <si>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</si>
  <si>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</si>
  <si>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</si>
  <si>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</si>
  <si>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</si>
  <si>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</si>
  <si>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</si>
  <si>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</si>
  <si>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</si>
  <si>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</si>
  <si>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</si>
  <si>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</si>
  <si>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</si>
  <si>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</si>
  <si>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</si>
  <si>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</si>
  <si>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</si>
  <si>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</si>
  <si>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</si>
  <si>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</si>
  <si>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</si>
  <si>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</si>
  <si>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</si>
  <si>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</si>
  <si>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</si>
  <si>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</si>
  <si>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</si>
  <si>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</si>
  <si>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</si>
  <si>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</si>
  <si>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</si>
  <si>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</si>
  <si>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</si>
  <si>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</si>
  <si>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</si>
  <si>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</si>
  <si>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</si>
  <si>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</si>
  <si>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</si>
  <si>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</si>
  <si>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</si>
  <si>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</si>
  <si>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</si>
  <si>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</si>
  <si>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</si>
  <si>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</si>
  <si>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</si>
  <si>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</si>
  <si>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</si>
  <si>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</si>
  <si>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</si>
  <si>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</si>
  <si>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</si>
  <si>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</si>
  <si>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</si>
  <si>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</si>
  <si>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</si>
  <si>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</si>
  <si>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</si>
  <si>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</si>
  <si>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</si>
  <si>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</si>
  <si>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</si>
  <si>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</si>
  <si>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</si>
  <si>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</si>
  <si>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</si>
  <si>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</si>
  <si>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</si>
  <si>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</si>
  <si>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</si>
  <si>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</si>
  <si>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</si>
  <si>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</si>
  <si>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</si>
  <si>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</si>
  <si>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</si>
  <si>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</si>
  <si>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</si>
  <si>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</si>
  <si>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</si>
  <si>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</si>
  <si>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</si>
  <si>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</si>
  <si>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</si>
  <si>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</si>
  <si>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</si>
  <si>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</si>
  <si>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</si>
  <si>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</si>
  <si>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</si>
  <si>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</si>
  <si>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</si>
  <si>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</si>
  <si>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</si>
  <si>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</si>
  <si>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</si>
  <si>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</si>
  <si>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</si>
  <si>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</si>
  <si>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</si>
  <si>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</si>
  <si>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</si>
  <si>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</si>
  <si>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</si>
  <si>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</si>
  <si>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</si>
  <si>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</si>
  <si>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</si>
  <si>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</si>
  <si>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</si>
  <si>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</si>
  <si>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</si>
  <si>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</si>
  <si>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</si>
  <si>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</si>
  <si>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</si>
  <si>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</si>
  <si>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</si>
  <si>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</si>
  <si>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</si>
  <si>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</si>
  <si>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</si>
  <si>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</si>
  <si>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</si>
  <si>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</si>
  <si>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</si>
  <si>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</si>
  <si>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</si>
  <si>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</si>
  <si>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</si>
  <si>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</si>
  <si>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</si>
  <si>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</si>
  <si>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</si>
  <si>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</si>
  <si>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</si>
  <si>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</si>
  <si>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</si>
  <si>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</si>
  <si>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</si>
  <si>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</si>
  <si>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</si>
  <si>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</si>
  <si>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</si>
  <si>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</si>
  <si>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</si>
  <si>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</si>
  <si>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</si>
  <si>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</si>
  <si>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</si>
  <si>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</si>
  <si>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</si>
  <si>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</si>
  <si>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</si>
  <si>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</si>
  <si>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</si>
  <si>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</si>
  <si>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</si>
  <si>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</si>
  <si>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</si>
  <si>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</si>
  <si>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</si>
  <si>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</si>
  <si>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</si>
  <si>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</si>
  <si>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</si>
  <si>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</si>
  <si>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</si>
  <si>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</si>
  <si>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</si>
  <si>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</si>
  <si>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</si>
  <si>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</si>
  <si>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</si>
  <si>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</si>
  <si>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</si>
  <si>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</si>
  <si>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</si>
  <si>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</si>
  <si>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</si>
  <si>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</si>
  <si>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</si>
  <si>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</si>
  <si>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</si>
  <si>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</si>
  <si>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</si>
  <si>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</si>
  <si>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</si>
  <si>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</si>
  <si>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</si>
  <si>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</si>
  <si>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</si>
  <si>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</si>
  <si>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</si>
  <si>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</si>
  <si>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</si>
  <si>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</si>
  <si>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</si>
  <si>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</si>
  <si>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</si>
  <si>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</si>
  <si>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</si>
  <si>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</si>
  <si>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</si>
  <si>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</si>
  <si>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</si>
  <si>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</si>
  <si>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</si>
  <si>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</si>
  <si>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</si>
  <si>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</si>
  <si>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</si>
  <si>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</si>
  <si>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</si>
  <si>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</si>
  <si>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</si>
  <si>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</si>
  <si>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</si>
  <si>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</si>
  <si>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</si>
  <si>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</si>
  <si>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</si>
  <si>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</si>
  <si>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</si>
  <si>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</si>
  <si>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</si>
  <si>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</si>
  <si>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</si>
  <si>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</si>
  <si>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</si>
  <si>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</si>
  <si>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</si>
  <si>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</si>
  <si>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</si>
  <si>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</si>
  <si>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</si>
  <si>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</si>
  <si>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</si>
  <si>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</si>
  <si>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</si>
  <si>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</si>
  <si>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</si>
  <si>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</si>
  <si>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</si>
  <si>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</si>
  <si>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</si>
  <si>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</si>
  <si>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</si>
  <si>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</si>
  <si>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</si>
  <si>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</si>
  <si>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</si>
  <si>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</si>
  <si>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</si>
  <si>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</si>
  <si>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</si>
  <si>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</si>
  <si>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</si>
  <si>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</si>
  <si>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</si>
  <si>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</si>
  <si>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</si>
  <si>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</si>
  <si>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</si>
  <si>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</si>
  <si>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</si>
  <si>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</si>
  <si>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</si>
  <si>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</si>
  <si>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</si>
  <si>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</si>
  <si>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</si>
  <si>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</si>
  <si>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</si>
  <si>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</si>
  <si>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</si>
  <si>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</si>
  <si>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</si>
  <si>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</si>
  <si>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</si>
  <si>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</si>
  <si>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</si>
  <si>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</si>
  <si>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</si>
  <si>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</si>
  <si>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</si>
  <si>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</si>
  <si>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</si>
  <si>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</si>
  <si>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</si>
  <si>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</si>
  <si>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</si>
  <si>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</si>
  <si>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</si>
  <si>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</si>
  <si>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</si>
  <si>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</si>
  <si>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</si>
  <si>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</si>
  <si>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</si>
  <si>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</si>
  <si>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</si>
  <si>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</si>
  <si>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</si>
  <si>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</si>
  <si>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</si>
  <si>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</si>
  <si>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</si>
  <si>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</si>
  <si>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</si>
  <si>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</si>
  <si>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</si>
  <si>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</si>
  <si>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</si>
  <si>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</si>
  <si>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</si>
  <si>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</si>
  <si>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</si>
  <si>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</si>
  <si>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</si>
  <si>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</si>
  <si>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</si>
  <si>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</si>
  <si>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</si>
  <si>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</si>
  <si>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</si>
  <si>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</si>
  <si>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</si>
  <si>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</si>
  <si>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</si>
  <si>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</si>
  <si>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</si>
  <si>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</si>
  <si>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</si>
  <si>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</si>
  <si>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</si>
  <si>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</si>
  <si>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</si>
  <si>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</si>
  <si>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</si>
  <si>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</si>
  <si>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</si>
  <si>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</si>
  <si>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</si>
  <si>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</si>
  <si>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</si>
  <si>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</si>
  <si>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</si>
  <si>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</si>
  <si>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</si>
  <si>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</si>
  <si>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</si>
  <si>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</si>
  <si>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</si>
  <si>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</si>
  <si>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</si>
  <si>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</si>
  <si>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</si>
  <si>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</si>
  <si>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</si>
  <si>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</si>
  <si>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</si>
  <si>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</si>
  <si>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</si>
  <si>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</si>
  <si>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</si>
  <si>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</si>
  <si>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</si>
  <si>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</si>
  <si>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</si>
  <si>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</si>
  <si>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</si>
  <si>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</si>
  <si>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</si>
  <si>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</si>
  <si>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</si>
  <si>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</si>
  <si>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</si>
  <si>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</si>
  <si>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</si>
  <si>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</si>
  <si>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</si>
  <si>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</si>
  <si>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</si>
  <si>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</si>
  <si>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</si>
  <si>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</si>
  <si>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</si>
  <si>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</si>
  <si>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</si>
  <si>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</si>
  <si>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</si>
  <si>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</si>
  <si>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</si>
  <si>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</si>
  <si>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</si>
  <si>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</si>
  <si>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</si>
  <si>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</si>
  <si>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</si>
  <si>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</si>
  <si>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</si>
  <si>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</si>
  <si>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</si>
  <si>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</si>
  <si>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</si>
  <si>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</si>
  <si>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</si>
  <si>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</si>
  <si>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</si>
  <si>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</si>
  <si>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</si>
  <si>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</si>
  <si>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</si>
  <si>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</si>
  <si>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</si>
  <si>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</si>
  <si>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</si>
  <si>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</si>
  <si>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</si>
  <si>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</si>
  <si>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</si>
  <si>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</si>
  <si>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</si>
  <si>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</si>
  <si>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</si>
  <si>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</si>
  <si>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</si>
  <si>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</si>
  <si>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</si>
  <si>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</si>
  <si>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</si>
  <si>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</si>
  <si>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</si>
  <si>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</si>
  <si>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</si>
  <si>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</si>
  <si>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</si>
  <si>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</si>
  <si>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</si>
  <si>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</si>
  <si>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</si>
  <si>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</si>
  <si>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</si>
  <si>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</si>
  <si>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</si>
  <si>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</si>
  <si>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</si>
  <si>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</si>
  <si>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</si>
  <si>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</si>
  <si>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</si>
  <si>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</si>
  <si>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</si>
  <si>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</si>
  <si>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</si>
  <si>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</si>
  <si>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</si>
  <si>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</si>
  <si>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</si>
  <si>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</si>
  <si>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</si>
  <si>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</si>
  <si>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</si>
  <si>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</si>
  <si>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</si>
  <si>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</si>
  <si>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</si>
  <si>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</si>
  <si>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</si>
  <si>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</si>
  <si>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</si>
  <si>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</si>
  <si>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</si>
  <si>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</si>
  <si>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</si>
  <si>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</si>
  <si>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</si>
  <si>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</si>
  <si>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</si>
  <si>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</si>
  <si>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</si>
  <si>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</si>
  <si>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</si>
  <si>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</si>
  <si>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</si>
  <si>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</si>
  <si>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</si>
  <si>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</si>
  <si>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</si>
  <si>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</si>
  <si>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</si>
  <si>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</si>
  <si>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</si>
  <si>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</si>
  <si>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</si>
  <si>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</si>
  <si>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</si>
  <si>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</si>
  <si>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</si>
  <si>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</si>
  <si>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</si>
  <si>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</si>
  <si>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</si>
  <si>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</si>
  <si>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</si>
  <si>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</si>
  <si>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</si>
  <si>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</si>
  <si>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</si>
  <si>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</si>
  <si>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</si>
  <si>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</si>
  <si>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</si>
  <si>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</si>
  <si>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</si>
  <si>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</si>
  <si>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</si>
  <si>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</si>
  <si>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</si>
  <si>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</si>
  <si>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</si>
  <si>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</si>
  <si>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</si>
  <si>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</si>
  <si>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</si>
  <si>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</si>
  <si>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</si>
  <si>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</si>
  <si>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</si>
  <si>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</si>
  <si>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</si>
  <si>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</si>
  <si>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</si>
  <si>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</si>
  <si>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</si>
  <si>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</si>
  <si>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</si>
  <si>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</si>
  <si>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</si>
  <si>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</si>
  <si>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</si>
  <si>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</si>
  <si>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</si>
  <si>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</si>
  <si>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</si>
  <si>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</si>
  <si>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</si>
  <si>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</si>
  <si>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</si>
  <si>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</si>
  <si>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</si>
  <si>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</si>
  <si>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</si>
  <si>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</si>
  <si>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</si>
  <si>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</si>
  <si>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</si>
  <si>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</si>
  <si>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</si>
  <si>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</si>
  <si>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</si>
  <si>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</si>
  <si>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</si>
  <si>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</si>
  <si>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</si>
  <si>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</si>
  <si>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</si>
  <si>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</si>
  <si>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</si>
  <si>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</si>
  <si>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</si>
  <si>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</si>
  <si>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</si>
  <si>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</si>
  <si>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</si>
  <si>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</si>
  <si>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</si>
  <si>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</si>
  <si>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</si>
  <si>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</si>
  <si>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</si>
  <si>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</si>
  <si>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</si>
  <si>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</si>
  <si>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</si>
  <si>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</si>
  <si>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</si>
  <si>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</si>
  <si>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</si>
  <si>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</si>
  <si>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</si>
  <si>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</si>
  <si>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</si>
  <si>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</si>
  <si>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</si>
  <si>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</si>
  <si>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</si>
  <si>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</si>
  <si>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</si>
  <si>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</si>
  <si>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</si>
  <si>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</si>
  <si>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</si>
  <si>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</si>
  <si>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</si>
  <si>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</si>
  <si>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</si>
  <si>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</si>
  <si>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</si>
  <si>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</si>
  <si>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</si>
  <si>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</si>
  <si>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</si>
  <si>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</si>
  <si>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</si>
  <si>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</si>
  <si>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</si>
  <si>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</si>
  <si>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</si>
  <si>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</si>
  <si>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</si>
  <si>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</si>
  <si>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</si>
  <si>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</si>
  <si>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</si>
  <si>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</si>
  <si>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</si>
  <si>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</si>
  <si>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</si>
  <si>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</si>
  <si>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</si>
  <si>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</si>
  <si>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</si>
  <si>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</si>
  <si>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</si>
  <si>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</si>
  <si>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</si>
  <si>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</si>
  <si>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</si>
  <si>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</si>
  <si>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</si>
  <si>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</si>
  <si>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</si>
  <si>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</si>
  <si>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</si>
  <si>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</si>
  <si>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</si>
  <si>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</si>
  <si>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</si>
  <si>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</si>
  <si>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</si>
  <si>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</si>
  <si>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</si>
  <si>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</si>
  <si>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</si>
  <si>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</si>
  <si>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</si>
  <si>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</si>
  <si>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</si>
  <si>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</si>
  <si>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</si>
  <si>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</si>
  <si>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</si>
  <si>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</si>
  <si>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</si>
  <si>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</si>
  <si>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</si>
  <si>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</si>
  <si>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</si>
  <si>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</si>
  <si>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</si>
  <si>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</si>
  <si>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</si>
  <si>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</si>
  <si>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</si>
  <si>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</si>
  <si>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</si>
  <si>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</si>
  <si>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</si>
  <si>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</si>
  <si>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</si>
  <si>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</si>
  <si>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</si>
  <si>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</si>
  <si>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</si>
  <si>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</si>
  <si>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</si>
  <si>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</si>
  <si>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</si>
  <si>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</si>
  <si>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</si>
  <si>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</si>
  <si>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</si>
  <si>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</si>
  <si>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</si>
  <si>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</si>
  <si>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</si>
  <si>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</si>
  <si>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</si>
  <si>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</si>
  <si>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</si>
  <si>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</si>
  <si>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</si>
  <si>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</si>
  <si>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</si>
  <si>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</si>
  <si>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</si>
  <si>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</si>
  <si>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</si>
  <si>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</si>
  <si>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</si>
  <si>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</si>
  <si>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</si>
  <si>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</si>
  <si>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</si>
  <si>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</si>
  <si>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</si>
  <si>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</si>
  <si>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</si>
  <si>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</si>
  <si>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</si>
  <si>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</si>
  <si>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</si>
  <si>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</si>
  <si>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</si>
  <si>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</si>
  <si>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</si>
  <si>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</si>
  <si>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</si>
  <si>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</si>
  <si>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</si>
  <si>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</si>
  <si>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</si>
  <si>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</si>
  <si>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</si>
  <si>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</si>
  <si>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</si>
  <si>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</si>
  <si>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</si>
  <si>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</si>
  <si>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</si>
  <si>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</si>
  <si>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</si>
  <si>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</si>
  <si>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</si>
  <si>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</si>
  <si>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</si>
  <si>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</si>
  <si>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</si>
  <si>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</si>
  <si>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</si>
  <si>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</si>
  <si>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</si>
  <si>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</si>
  <si>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</si>
  <si>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</si>
  <si>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</si>
  <si>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</si>
  <si>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</si>
  <si>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</si>
  <si>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</si>
  <si>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</si>
  <si>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</si>
  <si>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</si>
  <si>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</si>
  <si>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</si>
  <si>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</si>
  <si>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</si>
  <si>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</si>
  <si>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</si>
  <si>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</si>
  <si>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</si>
  <si>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</si>
  <si>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</si>
  <si>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</si>
  <si>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</si>
  <si>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</si>
  <si>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</si>
  <si>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</si>
  <si>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</si>
  <si>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</si>
  <si>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</si>
  <si>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</si>
  <si>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</si>
  <si>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</si>
  <si>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</si>
  <si>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</si>
  <si>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</si>
  <si>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</si>
  <si>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</si>
  <si>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</si>
  <si>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</si>
  <si>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</si>
  <si>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</si>
  <si>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</si>
  <si>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</si>
  <si>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</si>
  <si>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</si>
  <si>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</si>
  <si>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</si>
  <si>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</si>
  <si>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</si>
  <si>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</si>
  <si>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</si>
  <si>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</si>
  <si>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</si>
  <si>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</si>
  <si>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</si>
  <si>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</si>
  <si>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</si>
  <si>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</si>
  <si>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</si>
  <si>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</si>
  <si>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</si>
  <si>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</si>
  <si>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</si>
  <si>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</si>
  <si>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</si>
  <si>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</si>
  <si>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</si>
  <si>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</si>
  <si>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</si>
  <si>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</si>
  <si>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</si>
  <si>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</si>
  <si>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</si>
  <si>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</si>
  <si>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</si>
  <si>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</si>
  <si>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</si>
  <si>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</si>
  <si>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</si>
  <si>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</si>
  <si>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</si>
  <si>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</si>
  <si>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</si>
  <si>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</si>
  <si>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</si>
  <si>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</si>
  <si>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</si>
  <si>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</si>
  <si>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</si>
  <si>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</si>
  <si>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</si>
  <si>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</si>
  <si>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</si>
  <si>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</si>
  <si>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</si>
  <si>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</si>
  <si>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</si>
  <si>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</si>
  <si>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</si>
  <si>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</si>
  <si>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</si>
  <si>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</si>
  <si>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</si>
  <si>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</si>
  <si>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</si>
  <si>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</si>
  <si>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</si>
  <si>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</si>
  <si>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</si>
  <si>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</si>
  <si>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</si>
  <si>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</si>
  <si>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</si>
  <si>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</si>
  <si>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</si>
  <si>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</si>
  <si>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</si>
  <si>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</si>
  <si>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</si>
  <si>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</si>
  <si>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</si>
  <si>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</si>
  <si>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</si>
  <si>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</si>
  <si>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</si>
  <si>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</si>
  <si>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</si>
  <si>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</si>
  <si>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</si>
  <si>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</si>
  <si>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</si>
  <si>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</si>
  <si>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</si>
  <si>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</si>
  <si>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</si>
  <si>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</si>
  <si>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</si>
  <si>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</si>
  <si>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</si>
  <si>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</si>
  <si>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</si>
  <si>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</si>
  <si>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</si>
  <si>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</si>
  <si>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</si>
  <si>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</si>
  <si>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</si>
  <si>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</si>
  <si>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</si>
  <si>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</si>
  <si>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</si>
  <si>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</si>
  <si>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</si>
  <si>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</si>
  <si>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</si>
  <si>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</si>
  <si>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Checks — campaign_experiment_data.xlsx</t>
  </si>
  <si>
    <t xml:space="preserve">1. Dataset Size &amp; Group Counts</t>
  </si>
  <si>
    <t xml:space="preserve">Total rows in raw data</t>
  </si>
  <si>
    <t xml:space="preserve">Control group count</t>
  </si>
  <si>
    <t xml:space="preserve">Treatment group count</t>
  </si>
  <si>
    <t xml:space="preserve">Group split check (Control+Treatment = Total)</t>
  </si>
  <si>
    <t xml:space="preserve">TRUE means groups reconcile to total rows (no unassigned/mislabeled group values)</t>
  </si>
  <si>
    <t xml:space="preserve">2. Missing Values by Column</t>
  </si>
  <si>
    <t xml:space="preserve">Missing values — device_type</t>
  </si>
  <si>
    <t xml:space="preserve">Missing values — traffic_source</t>
  </si>
  <si>
    <t xml:space="preserve">Missing values — engagement_score</t>
  </si>
  <si>
    <t xml:space="preserve">Missing values — days_to_convert</t>
  </si>
  <si>
    <t xml:space="preserve">Expected: only populated for converted users (non-converters never had a conversion date)</t>
  </si>
  <si>
    <t xml:space="preserve">Missing values — region</t>
  </si>
  <si>
    <t xml:space="preserve">Missing values — plan_type</t>
  </si>
  <si>
    <t xml:space="preserve">Missing values — user_id</t>
  </si>
  <si>
    <t xml:space="preserve">Missing values — experiment_group</t>
  </si>
  <si>
    <t xml:space="preserve">Missing values — revenue_30d</t>
  </si>
  <si>
    <t xml:space="preserve">Missing values — support_tickets_30d</t>
  </si>
  <si>
    <t xml:space="preserve">Missing values — refund_requested</t>
  </si>
  <si>
    <t xml:space="preserve">3. Duplicate User IDs</t>
  </si>
  <si>
    <t xml:space="preserve">Unique user IDs</t>
  </si>
  <si>
    <t xml:space="preserve">Duplicate user ID rows (extra occurrences beyond 1st)</t>
  </si>
  <si>
    <t xml:space="preserve">Total rows minus unique IDs = number of duplicate-row occurrences</t>
  </si>
  <si>
    <t xml:space="preserve">4. Invalid Binary / Numeric Values</t>
  </si>
  <si>
    <t xml:space="preserve">Invalid (non 0/1) values — visited_landing_page</t>
  </si>
  <si>
    <t xml:space="preserve">Invalid (non 0/1) values — started_trial</t>
  </si>
  <si>
    <t xml:space="preserve">Invalid (non 0/1) values — completed_onboarding</t>
  </si>
  <si>
    <t xml:space="preserve">Invalid (non 0/1) values — converted_to_paid</t>
  </si>
  <si>
    <t xml:space="preserve">Invalid (non 0/1) values — refund_requested</t>
  </si>
  <si>
    <t xml:space="preserve">Negative values — support_tickets_30d</t>
  </si>
  <si>
    <t xml:space="preserve">Negative values — revenue_30d</t>
  </si>
  <si>
    <t xml:space="preserve">5. Outliers — revenue_30d (z-score method, |z| &gt; 3)</t>
  </si>
  <si>
    <t xml:space="preserve">Mean revenue_30d</t>
  </si>
  <si>
    <t xml:space="preserve">Std dev revenue_30d</t>
  </si>
  <si>
    <t xml:space="preserve">Outlier count (|z|&gt;3)</t>
  </si>
  <si>
    <t xml:space="preserve">High-revenue outliers are legitimate paid conversions, not data errors — retained but flagged for awareness in revenue-based averages</t>
  </si>
  <si>
    <t xml:space="preserve">Max revenue_30d</t>
  </si>
  <si>
    <t xml:space="preserve">Median revenue_30d</t>
  </si>
  <si>
    <t xml:space="preserve">6. Segment Distribution Across Groups (Control vs Treatment)</t>
  </si>
  <si>
    <t xml:space="preserve">Segment</t>
  </si>
  <si>
    <t xml:space="preserve">Value</t>
  </si>
  <si>
    <t xml:space="preserve">Control %</t>
  </si>
  <si>
    <t xml:space="preserve">Treatment %</t>
  </si>
  <si>
    <t xml:space="preserve">7. Handling Decisions Applied (see Cleaned_Data sheet)</t>
  </si>
  <si>
    <t xml:space="preserve">• Exact full-row duplicates (8 user_id pairs, 16 rows) -&gt; 1 copy of each kept; verified duplicates were identical across every column, not just user_id, before removing.</t>
  </si>
  <si>
    <t xml:space="preserve">• Missing device_type (18 rows) and traffic_source (24 rows) -&gt; recoded to 'Unknown' category rather than dropped, to avoid losing otherwise valid funnel/revenue data.</t>
  </si>
  <si>
    <t xml:space="preserve">• Missing engagement_score (14 rows) -&gt; left blank; Excel AVERAGE()/AVERAGEIF() ignore blanks by default, so group averages are unaffected and not artificially diluted.</t>
  </si>
  <si>
    <t xml:space="preserve">• Missing days_to_convert (1336 rows) -&gt; expected and correct: only users with converted_to_paid = 1 have a conversion date. Not treated as missing data.</t>
  </si>
  <si>
    <t xml:space="preserve">• Invalid binary values -&gt; none found across visited_landing_page, started_trial, completed_onboarding, converted_to_paid, refund_requested (all values are strictly 0 or 1).</t>
  </si>
  <si>
    <t xml:space="preserve">• Revenue outliers -&gt; high-revenue rows belong to genuine converted users (converted_to_paid = 1, revenue_30d &gt; 0 in 100% of cases). Retained in analysis; flagged as a guardrail (revenue quality/concentration) rather than removed.</t>
  </si>
  <si>
    <t xml:space="preserve">• Segment distribution -&gt; region, device_type, traffic_source, and plan_type are balanced within a few percentage points between Control and Treatment, supporting a valid randomized comparison.</t>
  </si>
  <si>
    <t xml:space="preserve">Unknown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</si>
</sst>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General"/>
    <numFmt numFmtId="167" formatCode="\$#,##0.0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Data" displayName="CleanedData" ref="A1:P1401" headerRowCount="1" totalsRowCount="0" totalsRowShown="0">
  <autoFilter ref="A1:P1401"/>
  <tableColumns count="16">
    <tableColumn id="1" name="user_id"/>
    <tableColumn id="2" name="signup_date"/>
    <tableColumn id="3" name="experiment_group"/>
    <tableColumn id="4" name="region"/>
    <tableColumn id="5" name="device_type"/>
    <tableColumn id="6" name="traffic_source"/>
    <tableColumn id="7" name="plan_type"/>
    <tableColumn id="8" name="visited_landing_page"/>
    <tableColumn id="9" name="started_trial"/>
    <tableColumn id="10" name="completed_onboarding"/>
    <tableColumn id="11" name="converted_to_paid"/>
    <tableColumn id="12" name="revenue_30d"/>
    <tableColumn id="13" name="support_tickets_30d"/>
    <tableColumn id="14" name="refund_requested"/>
    <tableColumn id="15" name="days_to_convert"/>
    <tableColumn id="16" name="engagement_score"/>
  </tableColumns>
</table>
</file>

<file path=xl/tables/table2.xml><?xml version="1.0" encoding="utf-8"?>
<table xmlns="http://schemas.openxmlformats.org/spreadsheetml/2006/main" id="2" name="RawData" displayName="RawData" ref="A1:P1409" headerRowCount="1" totalsRowCount="0" totalsRowShown="0">
  <autoFilter ref="A1:P1409"/>
  <tableColumns count="16">
    <tableColumn id="1" name="user_id"/>
    <tableColumn id="2" name="signup_date"/>
    <tableColumn id="3" name="experiment_group"/>
    <tableColumn id="4" name="region"/>
    <tableColumn id="5" name="device_type"/>
    <tableColumn id="6" name="traffic_source"/>
    <tableColumn id="7" name="plan_type"/>
    <tableColumn id="8" name="visited_landing_page"/>
    <tableColumn id="9" name="started_trial"/>
    <tableColumn id="10" name="completed_onboarding"/>
    <tableColumn id="11" name="converted_to_paid"/>
    <tableColumn id="12" name="revenue_30d"/>
    <tableColumn id="13" name="support_tickets_30d"/>
    <tableColumn id="14" name="refund_requested"/>
    <tableColumn id="15" name="days_to_convert"/>
    <tableColumn id="16" name="engagement_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14"/>
    <col collapsed="false" customWidth="true" hidden="false" outlineLevel="0" max="13" min="13" style="1" width="21"/>
    <col collapsed="false" customWidth="true" hidden="false" outlineLevel="0" max="14" min="14" style="1" width="18"/>
    <col collapsed="false" customWidth="true" hidden="false" outlineLevel="0" max="15" min="15" style="1" width="17"/>
    <col collapsed="false" customWidth="true" hidden="false" outlineLevel="0" max="16" min="16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4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false" outlineLevel="0" collapsed="false">
      <c r="A3" s="3" t="s">
        <v>22</v>
      </c>
      <c r="B3" s="4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3" t="s">
        <v>27</v>
      </c>
      <c r="B4" s="4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false" outlineLevel="0" collapsed="false">
      <c r="A5" s="3" t="s">
        <v>31</v>
      </c>
      <c r="B5" s="4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3" t="s">
        <v>33</v>
      </c>
      <c r="B6" s="4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false" outlineLevel="0" collapsed="false">
      <c r="A7" s="3" t="s">
        <v>35</v>
      </c>
      <c r="B7" s="4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3" t="s">
        <v>36</v>
      </c>
      <c r="B8" s="4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false" outlineLevel="0" collapsed="false">
      <c r="A9" s="3" t="s">
        <v>37</v>
      </c>
      <c r="B9" s="4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3" t="s">
        <v>38</v>
      </c>
      <c r="B10" s="4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false" outlineLevel="0" collapsed="false">
      <c r="A11" s="3" t="s">
        <v>40</v>
      </c>
      <c r="B11" s="4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3" t="s">
        <v>42</v>
      </c>
      <c r="B12" s="4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false" outlineLevel="0" collapsed="false">
      <c r="A13" s="3" t="s">
        <v>43</v>
      </c>
      <c r="B13" s="4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3" t="s">
        <v>44</v>
      </c>
      <c r="B14" s="4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false" outlineLevel="0" collapsed="false">
      <c r="A15" s="3" t="s">
        <v>45</v>
      </c>
      <c r="B15" s="4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3" t="s">
        <v>46</v>
      </c>
      <c r="B16" s="4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false" outlineLevel="0" collapsed="false">
      <c r="A17" s="3" t="s">
        <v>47</v>
      </c>
      <c r="B17" s="4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3" t="s">
        <v>48</v>
      </c>
      <c r="B18" s="4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false" outlineLevel="0" collapsed="false">
      <c r="A19" s="3" t="s">
        <v>49</v>
      </c>
      <c r="B19" s="4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3" t="s">
        <v>50</v>
      </c>
      <c r="B20" s="4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false" outlineLevel="0" collapsed="false">
      <c r="A21" s="3" t="s">
        <v>51</v>
      </c>
      <c r="B21" s="4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3" t="s">
        <v>52</v>
      </c>
      <c r="B22" s="4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false" outlineLevel="0" collapsed="false">
      <c r="A23" s="3" t="s">
        <v>53</v>
      </c>
      <c r="B23" s="4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3" t="s">
        <v>54</v>
      </c>
      <c r="B24" s="4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false" outlineLevel="0" collapsed="false">
      <c r="A25" s="3" t="s">
        <v>55</v>
      </c>
      <c r="B25" s="4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3" t="s">
        <v>56</v>
      </c>
      <c r="B26" s="4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false" outlineLevel="0" collapsed="false">
      <c r="A27" s="3" t="s">
        <v>57</v>
      </c>
      <c r="B27" s="4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3" t="s">
        <v>58</v>
      </c>
      <c r="B28" s="4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false" outlineLevel="0" collapsed="false">
      <c r="A29" s="3" t="s">
        <v>59</v>
      </c>
      <c r="B29" s="4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3" t="s">
        <v>60</v>
      </c>
      <c r="B30" s="4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false" outlineLevel="0" collapsed="false">
      <c r="A31" s="3" t="s">
        <v>61</v>
      </c>
      <c r="B31" s="4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3" t="s">
        <v>62</v>
      </c>
      <c r="B32" s="4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false" outlineLevel="0" collapsed="false">
      <c r="A33" s="3" t="s">
        <v>63</v>
      </c>
      <c r="B33" s="4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3" t="s">
        <v>64</v>
      </c>
      <c r="B34" s="4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false" outlineLevel="0" collapsed="false">
      <c r="A35" s="3" t="s">
        <v>65</v>
      </c>
      <c r="B35" s="4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3" t="s">
        <v>66</v>
      </c>
      <c r="B36" s="4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false" outlineLevel="0" collapsed="false">
      <c r="A37" s="3" t="s">
        <v>67</v>
      </c>
      <c r="B37" s="4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3" t="s">
        <v>68</v>
      </c>
      <c r="B38" s="4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false" outlineLevel="0" collapsed="false">
      <c r="A39" s="3" t="s">
        <v>69</v>
      </c>
      <c r="B39" s="4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3" t="s">
        <v>70</v>
      </c>
      <c r="B40" s="4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false" outlineLevel="0" collapsed="false">
      <c r="A41" s="3" t="s">
        <v>71</v>
      </c>
      <c r="B41" s="4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3" t="s">
        <v>72</v>
      </c>
      <c r="B42" s="4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false" outlineLevel="0" collapsed="false">
      <c r="A43" s="3" t="s">
        <v>73</v>
      </c>
      <c r="B43" s="4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3" t="s">
        <v>74</v>
      </c>
      <c r="B44" s="4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false" outlineLevel="0" collapsed="false">
      <c r="A45" s="3" t="s">
        <v>75</v>
      </c>
      <c r="B45" s="4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3" t="s">
        <v>76</v>
      </c>
      <c r="B46" s="4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false" outlineLevel="0" collapsed="false">
      <c r="A47" s="3" t="s">
        <v>77</v>
      </c>
      <c r="B47" s="4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3" t="s">
        <v>78</v>
      </c>
      <c r="B48" s="4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false" outlineLevel="0" collapsed="false">
      <c r="A49" s="3" t="s">
        <v>79</v>
      </c>
      <c r="B49" s="4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3" t="s">
        <v>80</v>
      </c>
      <c r="B50" s="4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false" outlineLevel="0" collapsed="false">
      <c r="A51" s="3" t="s">
        <v>81</v>
      </c>
      <c r="B51" s="4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3" t="s">
        <v>82</v>
      </c>
      <c r="B52" s="4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false" outlineLevel="0" collapsed="false">
      <c r="A53" s="3" t="s">
        <v>83</v>
      </c>
      <c r="B53" s="4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3" t="s">
        <v>84</v>
      </c>
      <c r="B54" s="4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false" outlineLevel="0" collapsed="false">
      <c r="A55" s="3" t="s">
        <v>85</v>
      </c>
      <c r="B55" s="4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3" t="s">
        <v>86</v>
      </c>
      <c r="B56" s="4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false" outlineLevel="0" collapsed="false">
      <c r="A57" s="3" t="s">
        <v>87</v>
      </c>
      <c r="B57" s="4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3" t="s">
        <v>88</v>
      </c>
      <c r="B58" s="4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false" outlineLevel="0" collapsed="false">
      <c r="A59" s="3" t="s">
        <v>89</v>
      </c>
      <c r="B59" s="4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3" t="s">
        <v>90</v>
      </c>
      <c r="B60" s="4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false" outlineLevel="0" collapsed="false">
      <c r="A61" s="3" t="s">
        <v>91</v>
      </c>
      <c r="B61" s="4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3" t="s">
        <v>92</v>
      </c>
      <c r="B62" s="4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false" outlineLevel="0" collapsed="false">
      <c r="A63" s="3" t="s">
        <v>93</v>
      </c>
      <c r="B63" s="4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3" t="s">
        <v>94</v>
      </c>
      <c r="B64" s="4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false" outlineLevel="0" collapsed="false">
      <c r="A65" s="3" t="s">
        <v>95</v>
      </c>
      <c r="B65" s="4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3" t="s">
        <v>96</v>
      </c>
      <c r="B66" s="4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false" outlineLevel="0" collapsed="false">
      <c r="A67" s="3" t="s">
        <v>97</v>
      </c>
      <c r="B67" s="4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3" t="s">
        <v>98</v>
      </c>
      <c r="B68" s="4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false" outlineLevel="0" collapsed="false">
      <c r="A69" s="3" t="s">
        <v>99</v>
      </c>
      <c r="B69" s="4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3" t="s">
        <v>100</v>
      </c>
      <c r="B70" s="4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false" outlineLevel="0" collapsed="false">
      <c r="A71" s="3" t="s">
        <v>101</v>
      </c>
      <c r="B71" s="4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3" t="s">
        <v>102</v>
      </c>
      <c r="B72" s="4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false" outlineLevel="0" collapsed="false">
      <c r="A73" s="3" t="s">
        <v>103</v>
      </c>
      <c r="B73" s="4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3" t="s">
        <v>104</v>
      </c>
      <c r="B74" s="4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false" outlineLevel="0" collapsed="false">
      <c r="A75" s="3" t="s">
        <v>105</v>
      </c>
      <c r="B75" s="4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3" t="s">
        <v>106</v>
      </c>
      <c r="B76" s="4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false" outlineLevel="0" collapsed="false">
      <c r="A77" s="3" t="s">
        <v>107</v>
      </c>
      <c r="B77" s="4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3" t="s">
        <v>108</v>
      </c>
      <c r="B78" s="4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false" outlineLevel="0" collapsed="false">
      <c r="A79" s="3" t="s">
        <v>109</v>
      </c>
      <c r="B79" s="4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3" t="s">
        <v>110</v>
      </c>
      <c r="B80" s="4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false" outlineLevel="0" collapsed="false">
      <c r="A81" s="3" t="s">
        <v>111</v>
      </c>
      <c r="B81" s="4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3" t="s">
        <v>112</v>
      </c>
      <c r="B82" s="4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false" outlineLevel="0" collapsed="false">
      <c r="A83" s="3" t="s">
        <v>113</v>
      </c>
      <c r="B83" s="4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3" t="s">
        <v>114</v>
      </c>
      <c r="B84" s="4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false" outlineLevel="0" collapsed="false">
      <c r="A85" s="3" t="s">
        <v>115</v>
      </c>
      <c r="B85" s="4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3" t="s">
        <v>116</v>
      </c>
      <c r="B86" s="4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false" outlineLevel="0" collapsed="false">
      <c r="A87" s="3" t="s">
        <v>117</v>
      </c>
      <c r="B87" s="4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3" t="s">
        <v>118</v>
      </c>
      <c r="B88" s="4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false" outlineLevel="0" collapsed="false">
      <c r="A89" s="3" t="s">
        <v>119</v>
      </c>
      <c r="B89" s="4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3" t="s">
        <v>120</v>
      </c>
      <c r="B90" s="4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false" outlineLevel="0" collapsed="false">
      <c r="A91" s="3" t="s">
        <v>121</v>
      </c>
      <c r="B91" s="4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3" t="s">
        <v>122</v>
      </c>
      <c r="B92" s="4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false" outlineLevel="0" collapsed="false">
      <c r="A93" s="3" t="s">
        <v>123</v>
      </c>
      <c r="B93" s="4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3" t="s">
        <v>124</v>
      </c>
      <c r="B94" s="4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false" outlineLevel="0" collapsed="false">
      <c r="A95" s="3" t="s">
        <v>125</v>
      </c>
      <c r="B95" s="4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3" t="s">
        <v>126</v>
      </c>
      <c r="B96" s="4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false" outlineLevel="0" collapsed="false">
      <c r="A97" s="3" t="s">
        <v>127</v>
      </c>
      <c r="B97" s="4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3" t="s">
        <v>128</v>
      </c>
      <c r="B98" s="4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false" outlineLevel="0" collapsed="false">
      <c r="A99" s="3" t="s">
        <v>129</v>
      </c>
      <c r="B99" s="4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3" t="s">
        <v>130</v>
      </c>
      <c r="B100" s="4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false" outlineLevel="0" collapsed="false">
      <c r="A101" s="3" t="s">
        <v>131</v>
      </c>
      <c r="B101" s="4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3" t="s">
        <v>132</v>
      </c>
      <c r="B102" s="4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false" outlineLevel="0" collapsed="false">
      <c r="A103" s="3" t="s">
        <v>133</v>
      </c>
      <c r="B103" s="4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3" t="s">
        <v>134</v>
      </c>
      <c r="B104" s="4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false" outlineLevel="0" collapsed="false">
      <c r="A105" s="3" t="s">
        <v>135</v>
      </c>
      <c r="B105" s="4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3" t="s">
        <v>136</v>
      </c>
      <c r="B106" s="4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false" outlineLevel="0" collapsed="false">
      <c r="A107" s="3" t="s">
        <v>137</v>
      </c>
      <c r="B107" s="4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3" t="s">
        <v>138</v>
      </c>
      <c r="B108" s="4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false" outlineLevel="0" collapsed="false">
      <c r="A109" s="3" t="s">
        <v>139</v>
      </c>
      <c r="B109" s="4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3" t="s">
        <v>140</v>
      </c>
      <c r="B110" s="4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false" outlineLevel="0" collapsed="false">
      <c r="A111" s="3" t="s">
        <v>141</v>
      </c>
      <c r="B111" s="4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3" t="s">
        <v>142</v>
      </c>
      <c r="B112" s="4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false" outlineLevel="0" collapsed="false">
      <c r="A113" s="3" t="s">
        <v>143</v>
      </c>
      <c r="B113" s="4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3" t="s">
        <v>144</v>
      </c>
      <c r="B114" s="4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false" outlineLevel="0" collapsed="false">
      <c r="A115" s="3" t="s">
        <v>145</v>
      </c>
      <c r="B115" s="4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3" t="s">
        <v>146</v>
      </c>
      <c r="B116" s="4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false" outlineLevel="0" collapsed="false">
      <c r="A117" s="3" t="s">
        <v>147</v>
      </c>
      <c r="B117" s="4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3" t="s">
        <v>148</v>
      </c>
      <c r="B118" s="4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false" outlineLevel="0" collapsed="false">
      <c r="A119" s="3" t="s">
        <v>149</v>
      </c>
      <c r="B119" s="4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3" t="s">
        <v>150</v>
      </c>
      <c r="B120" s="4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false" outlineLevel="0" collapsed="false">
      <c r="A121" s="3" t="s">
        <v>151</v>
      </c>
      <c r="B121" s="4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3" t="s">
        <v>152</v>
      </c>
      <c r="B122" s="4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false" outlineLevel="0" collapsed="false">
      <c r="A123" s="3" t="s">
        <v>153</v>
      </c>
      <c r="B123" s="4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3" t="s">
        <v>154</v>
      </c>
      <c r="B124" s="4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false" outlineLevel="0" collapsed="false">
      <c r="A125" s="3" t="s">
        <v>155</v>
      </c>
      <c r="B125" s="4" t="n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3" t="s">
        <v>156</v>
      </c>
      <c r="B126" s="4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false" outlineLevel="0" collapsed="false">
      <c r="A127" s="3" t="s">
        <v>157</v>
      </c>
      <c r="B127" s="4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3" t="s">
        <v>158</v>
      </c>
      <c r="B128" s="4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false" outlineLevel="0" collapsed="false">
      <c r="A129" s="3" t="s">
        <v>159</v>
      </c>
      <c r="B129" s="4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3" t="s">
        <v>160</v>
      </c>
      <c r="B130" s="4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false" outlineLevel="0" collapsed="false">
      <c r="A131" s="3" t="s">
        <v>161</v>
      </c>
      <c r="B131" s="4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3" t="s">
        <v>162</v>
      </c>
      <c r="B132" s="4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false" outlineLevel="0" collapsed="false">
      <c r="A133" s="3" t="s">
        <v>163</v>
      </c>
      <c r="B133" s="4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3" t="s">
        <v>164</v>
      </c>
      <c r="B134" s="4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false" outlineLevel="0" collapsed="false">
      <c r="A135" s="3" t="s">
        <v>165</v>
      </c>
      <c r="B135" s="4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3" t="s">
        <v>166</v>
      </c>
      <c r="B136" s="4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false" outlineLevel="0" collapsed="false">
      <c r="A137" s="3" t="s">
        <v>167</v>
      </c>
      <c r="B137" s="4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3" t="s">
        <v>168</v>
      </c>
      <c r="B138" s="4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false" outlineLevel="0" collapsed="false">
      <c r="A139" s="3" t="s">
        <v>169</v>
      </c>
      <c r="B139" s="4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3" t="s">
        <v>170</v>
      </c>
      <c r="B140" s="4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false" outlineLevel="0" collapsed="false">
      <c r="A141" s="3" t="s">
        <v>171</v>
      </c>
      <c r="B141" s="4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3" t="s">
        <v>172</v>
      </c>
      <c r="B142" s="4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false" outlineLevel="0" collapsed="false">
      <c r="A143" s="3" t="s">
        <v>173</v>
      </c>
      <c r="B143" s="4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3" t="s">
        <v>174</v>
      </c>
      <c r="B144" s="4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false" outlineLevel="0" collapsed="false">
      <c r="A145" s="3" t="s">
        <v>175</v>
      </c>
      <c r="B145" s="4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3" t="s">
        <v>176</v>
      </c>
      <c r="B146" s="4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false" outlineLevel="0" collapsed="false">
      <c r="A147" s="3" t="s">
        <v>177</v>
      </c>
      <c r="B147" s="4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3" t="s">
        <v>178</v>
      </c>
      <c r="B148" s="4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false" outlineLevel="0" collapsed="false">
      <c r="A149" s="3" t="s">
        <v>179</v>
      </c>
      <c r="B149" s="4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3" t="s">
        <v>180</v>
      </c>
      <c r="B150" s="4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false" outlineLevel="0" collapsed="false">
      <c r="A151" s="3" t="s">
        <v>181</v>
      </c>
      <c r="B151" s="4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3" t="s">
        <v>182</v>
      </c>
      <c r="B152" s="4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false" outlineLevel="0" collapsed="false">
      <c r="A153" s="3" t="s">
        <v>183</v>
      </c>
      <c r="B153" s="4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3" t="s">
        <v>184</v>
      </c>
      <c r="B154" s="4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false" outlineLevel="0" collapsed="false">
      <c r="A155" s="3" t="s">
        <v>185</v>
      </c>
      <c r="B155" s="4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false" outlineLevel="0" collapsed="false">
      <c r="A156" s="3" t="s">
        <v>186</v>
      </c>
      <c r="B156" s="4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false" outlineLevel="0" collapsed="false">
      <c r="A157" s="3" t="s">
        <v>187</v>
      </c>
      <c r="B157" s="4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3" t="s">
        <v>188</v>
      </c>
      <c r="B158" s="4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false" outlineLevel="0" collapsed="false">
      <c r="A159" s="3" t="s">
        <v>189</v>
      </c>
      <c r="B159" s="4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3" t="s">
        <v>190</v>
      </c>
      <c r="B160" s="4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false" outlineLevel="0" collapsed="false">
      <c r="A161" s="3" t="s">
        <v>191</v>
      </c>
      <c r="B161" s="4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3" t="s">
        <v>192</v>
      </c>
      <c r="B162" s="4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false" outlineLevel="0" collapsed="false">
      <c r="A163" s="3" t="s">
        <v>193</v>
      </c>
      <c r="B163" s="4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false" outlineLevel="0" collapsed="false">
      <c r="A164" s="3" t="s">
        <v>194</v>
      </c>
      <c r="B164" s="4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false" outlineLevel="0" collapsed="false">
      <c r="A165" s="3" t="s">
        <v>195</v>
      </c>
      <c r="B165" s="4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3" t="s">
        <v>196</v>
      </c>
      <c r="B166" s="4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false" outlineLevel="0" collapsed="false">
      <c r="A167" s="3" t="s">
        <v>197</v>
      </c>
      <c r="B167" s="4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3" t="s">
        <v>198</v>
      </c>
      <c r="B168" s="4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false" outlineLevel="0" collapsed="false">
      <c r="A169" s="3" t="s">
        <v>199</v>
      </c>
      <c r="B169" s="4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false" outlineLevel="0" collapsed="false">
      <c r="A170" s="3" t="s">
        <v>200</v>
      </c>
      <c r="B170" s="4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false" outlineLevel="0" collapsed="false">
      <c r="A171" s="3" t="s">
        <v>201</v>
      </c>
      <c r="B171" s="4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3" t="s">
        <v>202</v>
      </c>
      <c r="B172" s="4" t="n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false" outlineLevel="0" collapsed="false">
      <c r="A173" s="3" t="s">
        <v>203</v>
      </c>
      <c r="B173" s="4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3" t="s">
        <v>204</v>
      </c>
      <c r="B174" s="4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false" outlineLevel="0" collapsed="false">
      <c r="A175" s="3" t="s">
        <v>205</v>
      </c>
      <c r="B175" s="4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3" t="s">
        <v>206</v>
      </c>
      <c r="B176" s="4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false" outlineLevel="0" collapsed="false">
      <c r="A177" s="3" t="s">
        <v>207</v>
      </c>
      <c r="B177" s="4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3" t="s">
        <v>208</v>
      </c>
      <c r="B178" s="4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false" outlineLevel="0" collapsed="false">
      <c r="A179" s="3" t="s">
        <v>209</v>
      </c>
      <c r="B179" s="4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3" t="s">
        <v>210</v>
      </c>
      <c r="B180" s="4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false" outlineLevel="0" collapsed="false">
      <c r="A181" s="3" t="s">
        <v>211</v>
      </c>
      <c r="B181" s="4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3" t="s">
        <v>212</v>
      </c>
      <c r="B182" s="4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false" outlineLevel="0" collapsed="false">
      <c r="A183" s="3" t="s">
        <v>213</v>
      </c>
      <c r="B183" s="4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3" t="s">
        <v>214</v>
      </c>
      <c r="B184" s="4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false" outlineLevel="0" collapsed="false">
      <c r="A185" s="3" t="s">
        <v>215</v>
      </c>
      <c r="B185" s="4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3" t="s">
        <v>216</v>
      </c>
      <c r="B186" s="4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false" outlineLevel="0" collapsed="false">
      <c r="A187" s="3" t="s">
        <v>217</v>
      </c>
      <c r="B187" s="4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3" t="s">
        <v>218</v>
      </c>
      <c r="B188" s="4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false" outlineLevel="0" collapsed="false">
      <c r="A189" s="3" t="s">
        <v>219</v>
      </c>
      <c r="B189" s="4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3" t="s">
        <v>220</v>
      </c>
      <c r="B190" s="4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false" outlineLevel="0" collapsed="false">
      <c r="A191" s="3" t="s">
        <v>221</v>
      </c>
      <c r="B191" s="4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3" t="s">
        <v>222</v>
      </c>
      <c r="B192" s="4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false" outlineLevel="0" collapsed="false">
      <c r="A193" s="3" t="s">
        <v>223</v>
      </c>
      <c r="B193" s="4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3" t="s">
        <v>224</v>
      </c>
      <c r="B194" s="4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false" outlineLevel="0" collapsed="false">
      <c r="A195" s="3" t="s">
        <v>225</v>
      </c>
      <c r="B195" s="4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3" t="s">
        <v>226</v>
      </c>
      <c r="B196" s="4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false" outlineLevel="0" collapsed="false">
      <c r="A197" s="3" t="s">
        <v>227</v>
      </c>
      <c r="B197" s="4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3" t="s">
        <v>228</v>
      </c>
      <c r="B198" s="4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false" outlineLevel="0" collapsed="false">
      <c r="A199" s="3" t="s">
        <v>229</v>
      </c>
      <c r="B199" s="4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3" t="s">
        <v>230</v>
      </c>
      <c r="B200" s="4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false" outlineLevel="0" collapsed="false">
      <c r="A201" s="3" t="s">
        <v>231</v>
      </c>
      <c r="B201" s="4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3" t="s">
        <v>232</v>
      </c>
      <c r="B202" s="4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false" outlineLevel="0" collapsed="false">
      <c r="A203" s="3" t="s">
        <v>233</v>
      </c>
      <c r="B203" s="4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3" t="s">
        <v>234</v>
      </c>
      <c r="B204" s="4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false" outlineLevel="0" collapsed="false">
      <c r="A205" s="3" t="s">
        <v>235</v>
      </c>
      <c r="B205" s="4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3" t="s">
        <v>236</v>
      </c>
      <c r="B206" s="4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false" outlineLevel="0" collapsed="false">
      <c r="A207" s="3" t="s">
        <v>237</v>
      </c>
      <c r="B207" s="4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3" t="s">
        <v>238</v>
      </c>
      <c r="B208" s="4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false" outlineLevel="0" collapsed="false">
      <c r="A209" s="3" t="s">
        <v>239</v>
      </c>
      <c r="B209" s="4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3" t="s">
        <v>240</v>
      </c>
      <c r="B210" s="4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false" outlineLevel="0" collapsed="false">
      <c r="A211" s="3" t="s">
        <v>241</v>
      </c>
      <c r="B211" s="4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3" t="s">
        <v>242</v>
      </c>
      <c r="B212" s="4" t="n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false" outlineLevel="0" collapsed="false">
      <c r="A213" s="3" t="s">
        <v>243</v>
      </c>
      <c r="B213" s="4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3" t="s">
        <v>244</v>
      </c>
      <c r="B214" s="4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false" outlineLevel="0" collapsed="false">
      <c r="A215" s="3" t="s">
        <v>245</v>
      </c>
      <c r="B215" s="4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3" t="s">
        <v>246</v>
      </c>
      <c r="B216" s="4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false" outlineLevel="0" collapsed="false">
      <c r="A217" s="3" t="s">
        <v>247</v>
      </c>
      <c r="B217" s="4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3" t="s">
        <v>248</v>
      </c>
      <c r="B218" s="4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false" outlineLevel="0" collapsed="false">
      <c r="A219" s="3" t="s">
        <v>249</v>
      </c>
      <c r="B219" s="4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false" outlineLevel="0" collapsed="false">
      <c r="A220" s="3" t="s">
        <v>250</v>
      </c>
      <c r="B220" s="4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false" outlineLevel="0" collapsed="false">
      <c r="A221" s="3" t="s">
        <v>251</v>
      </c>
      <c r="B221" s="4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3" t="s">
        <v>252</v>
      </c>
      <c r="B222" s="4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false" outlineLevel="0" collapsed="false">
      <c r="A223" s="3" t="s">
        <v>253</v>
      </c>
      <c r="B223" s="4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3" t="s">
        <v>254</v>
      </c>
      <c r="B224" s="4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false" outlineLevel="0" collapsed="false">
      <c r="A225" s="3" t="s">
        <v>255</v>
      </c>
      <c r="B225" s="4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3" t="s">
        <v>256</v>
      </c>
      <c r="B226" s="4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false" outlineLevel="0" collapsed="false">
      <c r="A227" s="3" t="s">
        <v>257</v>
      </c>
      <c r="B227" s="4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3" t="s">
        <v>258</v>
      </c>
      <c r="B228" s="4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false" outlineLevel="0" collapsed="false">
      <c r="A229" s="3" t="s">
        <v>259</v>
      </c>
      <c r="B229" s="4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3" t="s">
        <v>260</v>
      </c>
      <c r="B230" s="4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false" outlineLevel="0" collapsed="false">
      <c r="A231" s="3" t="s">
        <v>261</v>
      </c>
      <c r="B231" s="4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3" t="s">
        <v>262</v>
      </c>
      <c r="B232" s="4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false" outlineLevel="0" collapsed="false">
      <c r="A233" s="3" t="s">
        <v>263</v>
      </c>
      <c r="B233" s="4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3" t="s">
        <v>264</v>
      </c>
      <c r="B234" s="4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false" outlineLevel="0" collapsed="false">
      <c r="A235" s="3" t="s">
        <v>265</v>
      </c>
      <c r="B235" s="4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3" t="s">
        <v>266</v>
      </c>
      <c r="B236" s="4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false" outlineLevel="0" collapsed="false">
      <c r="A237" s="3" t="s">
        <v>267</v>
      </c>
      <c r="B237" s="4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3" t="s">
        <v>268</v>
      </c>
      <c r="B238" s="4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false" outlineLevel="0" collapsed="false">
      <c r="A239" s="3" t="s">
        <v>269</v>
      </c>
      <c r="B239" s="4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3" t="s">
        <v>270</v>
      </c>
      <c r="B240" s="4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false" outlineLevel="0" collapsed="false">
      <c r="A241" s="3" t="s">
        <v>271</v>
      </c>
      <c r="B241" s="4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3" t="s">
        <v>272</v>
      </c>
      <c r="B242" s="4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false" outlineLevel="0" collapsed="false">
      <c r="A243" s="3" t="s">
        <v>273</v>
      </c>
      <c r="B243" s="4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3" t="s">
        <v>274</v>
      </c>
      <c r="B244" s="4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false" outlineLevel="0" collapsed="false">
      <c r="A245" s="3" t="s">
        <v>275</v>
      </c>
      <c r="B245" s="4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3" t="s">
        <v>276</v>
      </c>
      <c r="B246" s="4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false" outlineLevel="0" collapsed="false">
      <c r="A247" s="3" t="s">
        <v>277</v>
      </c>
      <c r="B247" s="4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3" t="s">
        <v>278</v>
      </c>
      <c r="B248" s="4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false" outlineLevel="0" collapsed="false">
      <c r="A249" s="3" t="s">
        <v>279</v>
      </c>
      <c r="B249" s="4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3" t="s">
        <v>280</v>
      </c>
      <c r="B250" s="4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false" outlineLevel="0" collapsed="false">
      <c r="A251" s="3" t="s">
        <v>281</v>
      </c>
      <c r="B251" s="4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3" t="s">
        <v>282</v>
      </c>
      <c r="B252" s="4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false" outlineLevel="0" collapsed="false">
      <c r="A253" s="3" t="s">
        <v>283</v>
      </c>
      <c r="B253" s="4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3" t="s">
        <v>284</v>
      </c>
      <c r="B254" s="4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false" outlineLevel="0" collapsed="false">
      <c r="A255" s="3" t="s">
        <v>285</v>
      </c>
      <c r="B255" s="4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3" t="s">
        <v>286</v>
      </c>
      <c r="B256" s="4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false" outlineLevel="0" collapsed="false">
      <c r="A257" s="3" t="s">
        <v>287</v>
      </c>
      <c r="B257" s="4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3" t="s">
        <v>288</v>
      </c>
      <c r="B258" s="4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false" outlineLevel="0" collapsed="false">
      <c r="A259" s="3" t="s">
        <v>289</v>
      </c>
      <c r="B259" s="4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3" t="s">
        <v>290</v>
      </c>
      <c r="B260" s="4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false" outlineLevel="0" collapsed="false">
      <c r="A261" s="3" t="s">
        <v>291</v>
      </c>
      <c r="B261" s="4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3" t="s">
        <v>292</v>
      </c>
      <c r="B262" s="4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false" outlineLevel="0" collapsed="false">
      <c r="A263" s="3" t="s">
        <v>293</v>
      </c>
      <c r="B263" s="4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3" t="s">
        <v>294</v>
      </c>
      <c r="B264" s="4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false" outlineLevel="0" collapsed="false">
      <c r="A265" s="3" t="s">
        <v>295</v>
      </c>
      <c r="B265" s="4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3" t="s">
        <v>296</v>
      </c>
      <c r="B266" s="4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false" outlineLevel="0" collapsed="false">
      <c r="A267" s="3" t="s">
        <v>297</v>
      </c>
      <c r="B267" s="4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3" t="s">
        <v>298</v>
      </c>
      <c r="B268" s="4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false" outlineLevel="0" collapsed="false">
      <c r="A269" s="3" t="s">
        <v>299</v>
      </c>
      <c r="B269" s="4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3" t="s">
        <v>300</v>
      </c>
      <c r="B270" s="4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false" outlineLevel="0" collapsed="false">
      <c r="A271" s="3" t="s">
        <v>301</v>
      </c>
      <c r="B271" s="4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3" t="s">
        <v>302</v>
      </c>
      <c r="B272" s="4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false" outlineLevel="0" collapsed="false">
      <c r="A273" s="3" t="s">
        <v>303</v>
      </c>
      <c r="B273" s="4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3" t="s">
        <v>304</v>
      </c>
      <c r="B274" s="4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false" outlineLevel="0" collapsed="false">
      <c r="A275" s="3" t="s">
        <v>305</v>
      </c>
      <c r="B275" s="4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3" t="s">
        <v>306</v>
      </c>
      <c r="B276" s="4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false" outlineLevel="0" collapsed="false">
      <c r="A277" s="3" t="s">
        <v>307</v>
      </c>
      <c r="B277" s="4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3" t="s">
        <v>308</v>
      </c>
      <c r="B278" s="4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false" outlineLevel="0" collapsed="false">
      <c r="A279" s="3" t="s">
        <v>309</v>
      </c>
      <c r="B279" s="4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3" t="s">
        <v>310</v>
      </c>
      <c r="B280" s="4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false" outlineLevel="0" collapsed="false">
      <c r="A281" s="3" t="s">
        <v>311</v>
      </c>
      <c r="B281" s="4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3" t="s">
        <v>312</v>
      </c>
      <c r="B282" s="4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false" outlineLevel="0" collapsed="false">
      <c r="A283" s="3" t="s">
        <v>313</v>
      </c>
      <c r="B283" s="4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3" t="s">
        <v>314</v>
      </c>
      <c r="B284" s="4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false" outlineLevel="0" collapsed="false">
      <c r="A285" s="3" t="s">
        <v>315</v>
      </c>
      <c r="B285" s="4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3" t="s">
        <v>316</v>
      </c>
      <c r="B286" s="4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false" outlineLevel="0" collapsed="false">
      <c r="A287" s="3" t="s">
        <v>317</v>
      </c>
      <c r="B287" s="4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3" t="s">
        <v>318</v>
      </c>
      <c r="B288" s="4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false" outlineLevel="0" collapsed="false">
      <c r="A289" s="3" t="s">
        <v>319</v>
      </c>
      <c r="B289" s="4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3" t="s">
        <v>320</v>
      </c>
      <c r="B290" s="4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false" outlineLevel="0" collapsed="false">
      <c r="A291" s="3" t="s">
        <v>321</v>
      </c>
      <c r="B291" s="4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3" t="s">
        <v>322</v>
      </c>
      <c r="B292" s="4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false" outlineLevel="0" collapsed="false">
      <c r="A293" s="3" t="s">
        <v>323</v>
      </c>
      <c r="B293" s="4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3" t="s">
        <v>324</v>
      </c>
      <c r="B294" s="4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false" outlineLevel="0" collapsed="false">
      <c r="A295" s="3" t="s">
        <v>325</v>
      </c>
      <c r="B295" s="4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3" t="s">
        <v>326</v>
      </c>
      <c r="B296" s="4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false" outlineLevel="0" collapsed="false">
      <c r="A297" s="3" t="s">
        <v>327</v>
      </c>
      <c r="B297" s="4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3" t="s">
        <v>328</v>
      </c>
      <c r="B298" s="4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false" outlineLevel="0" collapsed="false">
      <c r="A299" s="3" t="s">
        <v>329</v>
      </c>
      <c r="B299" s="4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3" t="s">
        <v>330</v>
      </c>
      <c r="B300" s="4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false" outlineLevel="0" collapsed="false">
      <c r="A301" s="3" t="s">
        <v>331</v>
      </c>
      <c r="B301" s="4" t="n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3" t="s">
        <v>332</v>
      </c>
      <c r="B302" s="4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false" outlineLevel="0" collapsed="false">
      <c r="A303" s="3" t="s">
        <v>333</v>
      </c>
      <c r="B303" s="4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3" t="s">
        <v>334</v>
      </c>
      <c r="B304" s="4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false" outlineLevel="0" collapsed="false">
      <c r="A305" s="3" t="s">
        <v>335</v>
      </c>
      <c r="B305" s="4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3" t="s">
        <v>336</v>
      </c>
      <c r="B306" s="4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false" outlineLevel="0" collapsed="false">
      <c r="A307" s="3" t="s">
        <v>337</v>
      </c>
      <c r="B307" s="4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3" t="s">
        <v>338</v>
      </c>
      <c r="B308" s="4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false" outlineLevel="0" collapsed="false">
      <c r="A309" s="3" t="s">
        <v>339</v>
      </c>
      <c r="B309" s="4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3" t="s">
        <v>340</v>
      </c>
      <c r="B310" s="4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false" outlineLevel="0" collapsed="false">
      <c r="A311" s="3" t="s">
        <v>341</v>
      </c>
      <c r="B311" s="4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3" t="s">
        <v>342</v>
      </c>
      <c r="B312" s="4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false" outlineLevel="0" collapsed="false">
      <c r="A313" s="3" t="s">
        <v>343</v>
      </c>
      <c r="B313" s="4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3" t="s">
        <v>344</v>
      </c>
      <c r="B314" s="4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false" outlineLevel="0" collapsed="false">
      <c r="A315" s="3" t="s">
        <v>345</v>
      </c>
      <c r="B315" s="4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3" t="s">
        <v>346</v>
      </c>
      <c r="B316" s="4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false" outlineLevel="0" collapsed="false">
      <c r="A317" s="3" t="s">
        <v>347</v>
      </c>
      <c r="B317" s="4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3" t="s">
        <v>348</v>
      </c>
      <c r="B318" s="4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false" outlineLevel="0" collapsed="false">
      <c r="A319" s="3" t="s">
        <v>349</v>
      </c>
      <c r="B319" s="4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3" t="s">
        <v>350</v>
      </c>
      <c r="B320" s="4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false" outlineLevel="0" collapsed="false">
      <c r="A321" s="3" t="s">
        <v>351</v>
      </c>
      <c r="B321" s="4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3" t="s">
        <v>352</v>
      </c>
      <c r="B322" s="4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false" outlineLevel="0" collapsed="false">
      <c r="A323" s="3" t="s">
        <v>353</v>
      </c>
      <c r="B323" s="4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3" t="s">
        <v>354</v>
      </c>
      <c r="B324" s="4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false" outlineLevel="0" collapsed="false">
      <c r="A325" s="3" t="s">
        <v>355</v>
      </c>
      <c r="B325" s="4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3" t="s">
        <v>356</v>
      </c>
      <c r="B326" s="4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false" outlineLevel="0" collapsed="false">
      <c r="A327" s="3" t="s">
        <v>357</v>
      </c>
      <c r="B327" s="4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3" t="s">
        <v>358</v>
      </c>
      <c r="B328" s="4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false" outlineLevel="0" collapsed="false">
      <c r="A329" s="3" t="s">
        <v>359</v>
      </c>
      <c r="B329" s="4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3" t="s">
        <v>360</v>
      </c>
      <c r="B330" s="4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false" outlineLevel="0" collapsed="false">
      <c r="A331" s="3" t="s">
        <v>361</v>
      </c>
      <c r="B331" s="4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3" t="s">
        <v>362</v>
      </c>
      <c r="B332" s="4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false" outlineLevel="0" collapsed="false">
      <c r="A333" s="3" t="s">
        <v>363</v>
      </c>
      <c r="B333" s="4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3" t="s">
        <v>364</v>
      </c>
      <c r="B334" s="4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false" outlineLevel="0" collapsed="false">
      <c r="A335" s="3" t="s">
        <v>365</v>
      </c>
      <c r="B335" s="4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3" t="s">
        <v>366</v>
      </c>
      <c r="B336" s="4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false" outlineLevel="0" collapsed="false">
      <c r="A337" s="3" t="s">
        <v>367</v>
      </c>
      <c r="B337" s="4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3" t="s">
        <v>368</v>
      </c>
      <c r="B338" s="4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false" outlineLevel="0" collapsed="false">
      <c r="A339" s="3" t="s">
        <v>369</v>
      </c>
      <c r="B339" s="4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3" t="s">
        <v>370</v>
      </c>
      <c r="B340" s="4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false" outlineLevel="0" collapsed="false">
      <c r="A341" s="3" t="s">
        <v>371</v>
      </c>
      <c r="B341" s="4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3" t="s">
        <v>372</v>
      </c>
      <c r="B342" s="4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false" outlineLevel="0" collapsed="false">
      <c r="A343" s="3" t="s">
        <v>373</v>
      </c>
      <c r="B343" s="4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3" t="s">
        <v>374</v>
      </c>
      <c r="B344" s="4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false" outlineLevel="0" collapsed="false">
      <c r="A345" s="3" t="s">
        <v>375</v>
      </c>
      <c r="B345" s="4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3" t="s">
        <v>376</v>
      </c>
      <c r="B346" s="4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false" outlineLevel="0" collapsed="false">
      <c r="A347" s="3" t="s">
        <v>377</v>
      </c>
      <c r="B347" s="4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3" t="s">
        <v>378</v>
      </c>
      <c r="B348" s="4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false" outlineLevel="0" collapsed="false">
      <c r="A349" s="3" t="s">
        <v>379</v>
      </c>
      <c r="B349" s="4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3" t="s">
        <v>380</v>
      </c>
      <c r="B350" s="4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false" outlineLevel="0" collapsed="false">
      <c r="A351" s="3" t="s">
        <v>381</v>
      </c>
      <c r="B351" s="4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3" t="s">
        <v>382</v>
      </c>
      <c r="B352" s="4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false" outlineLevel="0" collapsed="false">
      <c r="A353" s="3" t="s">
        <v>383</v>
      </c>
      <c r="B353" s="4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3" t="s">
        <v>384</v>
      </c>
      <c r="B354" s="4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false" outlineLevel="0" collapsed="false">
      <c r="A355" s="3" t="s">
        <v>385</v>
      </c>
      <c r="B355" s="4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3" t="s">
        <v>386</v>
      </c>
      <c r="B356" s="4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false" outlineLevel="0" collapsed="false">
      <c r="A357" s="3" t="s">
        <v>387</v>
      </c>
      <c r="B357" s="4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3" t="s">
        <v>388</v>
      </c>
      <c r="B358" s="4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false" outlineLevel="0" collapsed="false">
      <c r="A359" s="3" t="s">
        <v>389</v>
      </c>
      <c r="B359" s="4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3" t="s">
        <v>390</v>
      </c>
      <c r="B360" s="4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false" outlineLevel="0" collapsed="false">
      <c r="A361" s="3" t="s">
        <v>391</v>
      </c>
      <c r="B361" s="4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3" t="s">
        <v>392</v>
      </c>
      <c r="B362" s="4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false" outlineLevel="0" collapsed="false">
      <c r="A363" s="3" t="s">
        <v>393</v>
      </c>
      <c r="B363" s="4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3" t="s">
        <v>394</v>
      </c>
      <c r="B364" s="4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false" outlineLevel="0" collapsed="false">
      <c r="A365" s="3" t="s">
        <v>395</v>
      </c>
      <c r="B365" s="4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3" t="s">
        <v>396</v>
      </c>
      <c r="B366" s="4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false" outlineLevel="0" collapsed="false">
      <c r="A367" s="3" t="s">
        <v>397</v>
      </c>
      <c r="B367" s="4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3" t="s">
        <v>398</v>
      </c>
      <c r="B368" s="4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false" outlineLevel="0" collapsed="false">
      <c r="A369" s="3" t="s">
        <v>399</v>
      </c>
      <c r="B369" s="4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3" t="s">
        <v>400</v>
      </c>
      <c r="B370" s="4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false" outlineLevel="0" collapsed="false">
      <c r="A371" s="3" t="s">
        <v>401</v>
      </c>
      <c r="B371" s="4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3" t="s">
        <v>402</v>
      </c>
      <c r="B372" s="4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false" outlineLevel="0" collapsed="false">
      <c r="A373" s="3" t="s">
        <v>403</v>
      </c>
      <c r="B373" s="4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3" t="s">
        <v>404</v>
      </c>
      <c r="B374" s="4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false" outlineLevel="0" collapsed="false">
      <c r="A375" s="3" t="s">
        <v>405</v>
      </c>
      <c r="B375" s="4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3" t="s">
        <v>406</v>
      </c>
      <c r="B376" s="4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false" outlineLevel="0" collapsed="false">
      <c r="A377" s="3" t="s">
        <v>407</v>
      </c>
      <c r="B377" s="4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3" t="s">
        <v>408</v>
      </c>
      <c r="B378" s="4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false" outlineLevel="0" collapsed="false">
      <c r="A379" s="3" t="s">
        <v>409</v>
      </c>
      <c r="B379" s="4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3" t="s">
        <v>410</v>
      </c>
      <c r="B380" s="4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false" outlineLevel="0" collapsed="false">
      <c r="A381" s="3" t="s">
        <v>411</v>
      </c>
      <c r="B381" s="4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3" t="s">
        <v>412</v>
      </c>
      <c r="B382" s="4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false" outlineLevel="0" collapsed="false">
      <c r="A383" s="3" t="s">
        <v>413</v>
      </c>
      <c r="B383" s="4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3" t="s">
        <v>414</v>
      </c>
      <c r="B384" s="4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false" outlineLevel="0" collapsed="false">
      <c r="A385" s="3" t="s">
        <v>415</v>
      </c>
      <c r="B385" s="4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3" t="s">
        <v>416</v>
      </c>
      <c r="B386" s="4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false" outlineLevel="0" collapsed="false">
      <c r="A387" s="3" t="s">
        <v>417</v>
      </c>
      <c r="B387" s="4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3" t="s">
        <v>418</v>
      </c>
      <c r="B388" s="4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false" outlineLevel="0" collapsed="false">
      <c r="A389" s="3" t="s">
        <v>419</v>
      </c>
      <c r="B389" s="4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3" t="s">
        <v>420</v>
      </c>
      <c r="B390" s="4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false" outlineLevel="0" collapsed="false">
      <c r="A391" s="3" t="s">
        <v>421</v>
      </c>
      <c r="B391" s="4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3" t="s">
        <v>422</v>
      </c>
      <c r="B392" s="4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false" outlineLevel="0" collapsed="false">
      <c r="A393" s="3" t="s">
        <v>423</v>
      </c>
      <c r="B393" s="4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3" t="s">
        <v>424</v>
      </c>
      <c r="B394" s="4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false" outlineLevel="0" collapsed="false">
      <c r="A395" s="3" t="s">
        <v>425</v>
      </c>
      <c r="B395" s="4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3" t="s">
        <v>426</v>
      </c>
      <c r="B396" s="4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false" outlineLevel="0" collapsed="false">
      <c r="A397" s="3" t="s">
        <v>427</v>
      </c>
      <c r="B397" s="4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3" t="s">
        <v>428</v>
      </c>
      <c r="B398" s="4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false" outlineLevel="0" collapsed="false">
      <c r="A399" s="3" t="s">
        <v>429</v>
      </c>
      <c r="B399" s="4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3" t="s">
        <v>430</v>
      </c>
      <c r="B400" s="4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false" outlineLevel="0" collapsed="false">
      <c r="A401" s="3" t="s">
        <v>431</v>
      </c>
      <c r="B401" s="4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3" t="s">
        <v>432</v>
      </c>
      <c r="B402" s="4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false" outlineLevel="0" collapsed="false">
      <c r="A403" s="3" t="s">
        <v>433</v>
      </c>
      <c r="B403" s="4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3" t="s">
        <v>434</v>
      </c>
      <c r="B404" s="4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false" outlineLevel="0" collapsed="false">
      <c r="A405" s="3" t="s">
        <v>435</v>
      </c>
      <c r="B405" s="4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3" t="s">
        <v>436</v>
      </c>
      <c r="B406" s="4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false" outlineLevel="0" collapsed="false">
      <c r="A407" s="3" t="s">
        <v>437</v>
      </c>
      <c r="B407" s="4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3" t="s">
        <v>438</v>
      </c>
      <c r="B408" s="4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false" outlineLevel="0" collapsed="false">
      <c r="A409" s="3" t="s">
        <v>439</v>
      </c>
      <c r="B409" s="4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3" t="s">
        <v>440</v>
      </c>
      <c r="B410" s="4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false" outlineLevel="0" collapsed="false">
      <c r="A411" s="3" t="s">
        <v>441</v>
      </c>
      <c r="B411" s="4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3" t="s">
        <v>442</v>
      </c>
      <c r="B412" s="4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false" outlineLevel="0" collapsed="false">
      <c r="A413" s="3" t="s">
        <v>443</v>
      </c>
      <c r="B413" s="4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3" t="s">
        <v>444</v>
      </c>
      <c r="B414" s="4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false" outlineLevel="0" collapsed="false">
      <c r="A415" s="3" t="s">
        <v>445</v>
      </c>
      <c r="B415" s="4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3" t="s">
        <v>446</v>
      </c>
      <c r="B416" s="4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false" outlineLevel="0" collapsed="false">
      <c r="A417" s="3" t="s">
        <v>447</v>
      </c>
      <c r="B417" s="4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3" t="s">
        <v>448</v>
      </c>
      <c r="B418" s="4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false" outlineLevel="0" collapsed="false">
      <c r="A419" s="3" t="s">
        <v>449</v>
      </c>
      <c r="B419" s="4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3" t="s">
        <v>450</v>
      </c>
      <c r="B420" s="4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false" outlineLevel="0" collapsed="false">
      <c r="A421" s="3" t="s">
        <v>451</v>
      </c>
      <c r="B421" s="4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3" t="s">
        <v>452</v>
      </c>
      <c r="B422" s="4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false" outlineLevel="0" collapsed="false">
      <c r="A423" s="3" t="s">
        <v>453</v>
      </c>
      <c r="B423" s="4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3" t="s">
        <v>454</v>
      </c>
      <c r="B424" s="4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false" outlineLevel="0" collapsed="false">
      <c r="A425" s="3" t="s">
        <v>455</v>
      </c>
      <c r="B425" s="4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3" t="s">
        <v>456</v>
      </c>
      <c r="B426" s="4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false" outlineLevel="0" collapsed="false">
      <c r="A427" s="3" t="s">
        <v>457</v>
      </c>
      <c r="B427" s="4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3" t="s">
        <v>458</v>
      </c>
      <c r="B428" s="4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false" outlineLevel="0" collapsed="false">
      <c r="A429" s="3" t="s">
        <v>459</v>
      </c>
      <c r="B429" s="4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3" t="s">
        <v>460</v>
      </c>
      <c r="B430" s="4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false" outlineLevel="0" collapsed="false">
      <c r="A431" s="3" t="s">
        <v>461</v>
      </c>
      <c r="B431" s="4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3" t="s">
        <v>462</v>
      </c>
      <c r="B432" s="4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false" outlineLevel="0" collapsed="false">
      <c r="A433" s="3" t="s">
        <v>463</v>
      </c>
      <c r="B433" s="4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3" t="s">
        <v>464</v>
      </c>
      <c r="B434" s="4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false" outlineLevel="0" collapsed="false">
      <c r="A435" s="3" t="s">
        <v>465</v>
      </c>
      <c r="B435" s="4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3" t="s">
        <v>466</v>
      </c>
      <c r="B436" s="4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false" outlineLevel="0" collapsed="false">
      <c r="A437" s="3" t="s">
        <v>467</v>
      </c>
      <c r="B437" s="4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3" t="s">
        <v>468</v>
      </c>
      <c r="B438" s="4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false" outlineLevel="0" collapsed="false">
      <c r="A439" s="3" t="s">
        <v>469</v>
      </c>
      <c r="B439" s="4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3" t="s">
        <v>470</v>
      </c>
      <c r="B440" s="4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false" outlineLevel="0" collapsed="false">
      <c r="A441" s="3" t="s">
        <v>471</v>
      </c>
      <c r="B441" s="4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3" t="s">
        <v>472</v>
      </c>
      <c r="B442" s="4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false" outlineLevel="0" collapsed="false">
      <c r="A443" s="3" t="s">
        <v>473</v>
      </c>
      <c r="B443" s="4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3" t="s">
        <v>474</v>
      </c>
      <c r="B444" s="4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false" outlineLevel="0" collapsed="false">
      <c r="A445" s="3" t="s">
        <v>475</v>
      </c>
      <c r="B445" s="4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3" t="s">
        <v>476</v>
      </c>
      <c r="B446" s="4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false" outlineLevel="0" collapsed="false">
      <c r="A447" s="3" t="s">
        <v>477</v>
      </c>
      <c r="B447" s="4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3" t="s">
        <v>478</v>
      </c>
      <c r="B448" s="4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false" outlineLevel="0" collapsed="false">
      <c r="A449" s="3" t="s">
        <v>479</v>
      </c>
      <c r="B449" s="4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3" t="s">
        <v>480</v>
      </c>
      <c r="B450" s="4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false" outlineLevel="0" collapsed="false">
      <c r="A451" s="3" t="s">
        <v>481</v>
      </c>
      <c r="B451" s="4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3" t="s">
        <v>482</v>
      </c>
      <c r="B452" s="4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false" outlineLevel="0" collapsed="false">
      <c r="A453" s="3" t="s">
        <v>483</v>
      </c>
      <c r="B453" s="4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3" t="s">
        <v>484</v>
      </c>
      <c r="B454" s="4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false" outlineLevel="0" collapsed="false">
      <c r="A455" s="3" t="s">
        <v>485</v>
      </c>
      <c r="B455" s="4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3" t="s">
        <v>486</v>
      </c>
      <c r="B456" s="4" t="n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false" outlineLevel="0" collapsed="false">
      <c r="A457" s="3" t="s">
        <v>487</v>
      </c>
      <c r="B457" s="4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3" t="s">
        <v>488</v>
      </c>
      <c r="B458" s="4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false" outlineLevel="0" collapsed="false">
      <c r="A459" s="3" t="s">
        <v>489</v>
      </c>
      <c r="B459" s="4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3" t="s">
        <v>490</v>
      </c>
      <c r="B460" s="4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false" outlineLevel="0" collapsed="false">
      <c r="A461" s="3" t="s">
        <v>491</v>
      </c>
      <c r="B461" s="4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3" t="s">
        <v>492</v>
      </c>
      <c r="B462" s="4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false" outlineLevel="0" collapsed="false">
      <c r="A463" s="3" t="s">
        <v>493</v>
      </c>
      <c r="B463" s="4" t="n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3" t="s">
        <v>494</v>
      </c>
      <c r="B464" s="4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false" outlineLevel="0" collapsed="false">
      <c r="A465" s="3" t="s">
        <v>495</v>
      </c>
      <c r="B465" s="4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3" t="s">
        <v>496</v>
      </c>
      <c r="B466" s="4" t="n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false" outlineLevel="0" collapsed="false">
      <c r="A467" s="3" t="s">
        <v>497</v>
      </c>
      <c r="B467" s="4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3" t="s">
        <v>498</v>
      </c>
      <c r="B468" s="4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false" outlineLevel="0" collapsed="false">
      <c r="A469" s="3" t="s">
        <v>499</v>
      </c>
      <c r="B469" s="4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3" t="s">
        <v>500</v>
      </c>
      <c r="B470" s="4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false" outlineLevel="0" collapsed="false">
      <c r="A471" s="3" t="s">
        <v>501</v>
      </c>
      <c r="B471" s="4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3" t="s">
        <v>502</v>
      </c>
      <c r="B472" s="4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false" outlineLevel="0" collapsed="false">
      <c r="A473" s="3" t="s">
        <v>503</v>
      </c>
      <c r="B473" s="4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3" t="s">
        <v>504</v>
      </c>
      <c r="B474" s="4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false" outlineLevel="0" collapsed="false">
      <c r="A475" s="3" t="s">
        <v>505</v>
      </c>
      <c r="B475" s="4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3" t="s">
        <v>506</v>
      </c>
      <c r="B476" s="4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false" outlineLevel="0" collapsed="false">
      <c r="A477" s="3" t="s">
        <v>507</v>
      </c>
      <c r="B477" s="4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3" t="s">
        <v>508</v>
      </c>
      <c r="B478" s="4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false" outlineLevel="0" collapsed="false">
      <c r="A479" s="3" t="s">
        <v>509</v>
      </c>
      <c r="B479" s="4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3" t="s">
        <v>510</v>
      </c>
      <c r="B480" s="4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false" outlineLevel="0" collapsed="false">
      <c r="A481" s="3" t="s">
        <v>511</v>
      </c>
      <c r="B481" s="4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3" t="s">
        <v>512</v>
      </c>
      <c r="B482" s="4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false" outlineLevel="0" collapsed="false">
      <c r="A483" s="3" t="s">
        <v>513</v>
      </c>
      <c r="B483" s="4" t="n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3" t="s">
        <v>514</v>
      </c>
      <c r="B484" s="4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false" outlineLevel="0" collapsed="false">
      <c r="A485" s="3" t="s">
        <v>515</v>
      </c>
      <c r="B485" s="4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3" t="s">
        <v>516</v>
      </c>
      <c r="B486" s="4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false" outlineLevel="0" collapsed="false">
      <c r="A487" s="3" t="s">
        <v>517</v>
      </c>
      <c r="B487" s="4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3" t="s">
        <v>518</v>
      </c>
      <c r="B488" s="4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false" outlineLevel="0" collapsed="false">
      <c r="A489" s="3" t="s">
        <v>519</v>
      </c>
      <c r="B489" s="4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3" t="s">
        <v>520</v>
      </c>
      <c r="B490" s="4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false" outlineLevel="0" collapsed="false">
      <c r="A491" s="3" t="s">
        <v>521</v>
      </c>
      <c r="B491" s="4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3" t="s">
        <v>522</v>
      </c>
      <c r="B492" s="4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false" outlineLevel="0" collapsed="false">
      <c r="A493" s="3" t="s">
        <v>523</v>
      </c>
      <c r="B493" s="4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3" t="s">
        <v>524</v>
      </c>
      <c r="B494" s="4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false" outlineLevel="0" collapsed="false">
      <c r="A495" s="3" t="s">
        <v>525</v>
      </c>
      <c r="B495" s="4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3" t="s">
        <v>526</v>
      </c>
      <c r="B496" s="4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false" outlineLevel="0" collapsed="false">
      <c r="A497" s="3" t="s">
        <v>527</v>
      </c>
      <c r="B497" s="4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3" t="s">
        <v>528</v>
      </c>
      <c r="B498" s="4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false" outlineLevel="0" collapsed="false">
      <c r="A499" s="3" t="s">
        <v>529</v>
      </c>
      <c r="B499" s="4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3" t="s">
        <v>530</v>
      </c>
      <c r="B500" s="4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false" outlineLevel="0" collapsed="false">
      <c r="A501" s="3" t="s">
        <v>531</v>
      </c>
      <c r="B501" s="4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3" t="s">
        <v>532</v>
      </c>
      <c r="B502" s="4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false" outlineLevel="0" collapsed="false">
      <c r="A503" s="3" t="s">
        <v>533</v>
      </c>
      <c r="B503" s="4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3" t="s">
        <v>534</v>
      </c>
      <c r="B504" s="4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false" outlineLevel="0" collapsed="false">
      <c r="A505" s="3" t="s">
        <v>535</v>
      </c>
      <c r="B505" s="4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3" t="s">
        <v>536</v>
      </c>
      <c r="B506" s="4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false" outlineLevel="0" collapsed="false">
      <c r="A507" s="3" t="s">
        <v>537</v>
      </c>
      <c r="B507" s="4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3" t="s">
        <v>538</v>
      </c>
      <c r="B508" s="4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false" outlineLevel="0" collapsed="false">
      <c r="A509" s="3" t="s">
        <v>539</v>
      </c>
      <c r="B509" s="4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3" t="s">
        <v>540</v>
      </c>
      <c r="B510" s="4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false" outlineLevel="0" collapsed="false">
      <c r="A511" s="3" t="s">
        <v>541</v>
      </c>
      <c r="B511" s="4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3" t="s">
        <v>542</v>
      </c>
      <c r="B512" s="4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false" outlineLevel="0" collapsed="false">
      <c r="A513" s="3" t="s">
        <v>543</v>
      </c>
      <c r="B513" s="4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3" t="s">
        <v>544</v>
      </c>
      <c r="B514" s="4" t="n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false" outlineLevel="0" collapsed="false">
      <c r="A515" s="3" t="s">
        <v>545</v>
      </c>
      <c r="B515" s="4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3" t="s">
        <v>546</v>
      </c>
      <c r="B516" s="4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false" outlineLevel="0" collapsed="false">
      <c r="A517" s="3" t="s">
        <v>547</v>
      </c>
      <c r="B517" s="4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3" t="s">
        <v>548</v>
      </c>
      <c r="B518" s="4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false" outlineLevel="0" collapsed="false">
      <c r="A519" s="3" t="s">
        <v>549</v>
      </c>
      <c r="B519" s="4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3" t="s">
        <v>550</v>
      </c>
      <c r="B520" s="4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false" outlineLevel="0" collapsed="false">
      <c r="A521" s="3" t="s">
        <v>551</v>
      </c>
      <c r="B521" s="4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3" t="s">
        <v>552</v>
      </c>
      <c r="B522" s="4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false" outlineLevel="0" collapsed="false">
      <c r="A523" s="3" t="s">
        <v>553</v>
      </c>
      <c r="B523" s="4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3" t="s">
        <v>554</v>
      </c>
      <c r="B524" s="4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false" outlineLevel="0" collapsed="false">
      <c r="A525" s="3" t="s">
        <v>555</v>
      </c>
      <c r="B525" s="4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3" t="s">
        <v>556</v>
      </c>
      <c r="B526" s="4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false" outlineLevel="0" collapsed="false">
      <c r="A527" s="3" t="s">
        <v>557</v>
      </c>
      <c r="B527" s="4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3" t="s">
        <v>558</v>
      </c>
      <c r="B528" s="4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false" outlineLevel="0" collapsed="false">
      <c r="A529" s="3" t="s">
        <v>559</v>
      </c>
      <c r="B529" s="4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3" t="s">
        <v>560</v>
      </c>
      <c r="B530" s="4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false" outlineLevel="0" collapsed="false">
      <c r="A531" s="3" t="s">
        <v>561</v>
      </c>
      <c r="B531" s="4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3" t="s">
        <v>562</v>
      </c>
      <c r="B532" s="4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false" outlineLevel="0" collapsed="false">
      <c r="A533" s="3" t="s">
        <v>563</v>
      </c>
      <c r="B533" s="4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3" t="s">
        <v>564</v>
      </c>
      <c r="B534" s="4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false" outlineLevel="0" collapsed="false">
      <c r="A535" s="3" t="s">
        <v>565</v>
      </c>
      <c r="B535" s="4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3" t="s">
        <v>566</v>
      </c>
      <c r="B536" s="4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false" outlineLevel="0" collapsed="false">
      <c r="A537" s="3" t="s">
        <v>567</v>
      </c>
      <c r="B537" s="4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3" t="s">
        <v>568</v>
      </c>
      <c r="B538" s="4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false" outlineLevel="0" collapsed="false">
      <c r="A539" s="3" t="s">
        <v>569</v>
      </c>
      <c r="B539" s="4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3" t="s">
        <v>570</v>
      </c>
      <c r="B540" s="4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false" outlineLevel="0" collapsed="false">
      <c r="A541" s="3" t="s">
        <v>571</v>
      </c>
      <c r="B541" s="4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3" t="s">
        <v>572</v>
      </c>
      <c r="B542" s="4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false" outlineLevel="0" collapsed="false">
      <c r="A543" s="3" t="s">
        <v>573</v>
      </c>
      <c r="B543" s="4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3" t="s">
        <v>574</v>
      </c>
      <c r="B544" s="4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false" outlineLevel="0" collapsed="false">
      <c r="A545" s="3" t="s">
        <v>575</v>
      </c>
      <c r="B545" s="4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3" t="s">
        <v>576</v>
      </c>
      <c r="B546" s="4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false" outlineLevel="0" collapsed="false">
      <c r="A547" s="3" t="s">
        <v>577</v>
      </c>
      <c r="B547" s="4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3" t="s">
        <v>578</v>
      </c>
      <c r="B548" s="4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false" outlineLevel="0" collapsed="false">
      <c r="A549" s="3" t="s">
        <v>579</v>
      </c>
      <c r="B549" s="4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3" t="s">
        <v>580</v>
      </c>
      <c r="B550" s="4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false" outlineLevel="0" collapsed="false">
      <c r="A551" s="3" t="s">
        <v>581</v>
      </c>
      <c r="B551" s="4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3" t="s">
        <v>582</v>
      </c>
      <c r="B552" s="4" t="n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false" outlineLevel="0" collapsed="false">
      <c r="A553" s="3" t="s">
        <v>583</v>
      </c>
      <c r="B553" s="4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3" t="s">
        <v>584</v>
      </c>
      <c r="B554" s="4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false" outlineLevel="0" collapsed="false">
      <c r="A555" s="3" t="s">
        <v>585</v>
      </c>
      <c r="B555" s="4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3" t="s">
        <v>586</v>
      </c>
      <c r="B556" s="4" t="n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false" outlineLevel="0" collapsed="false">
      <c r="A557" s="3" t="s">
        <v>587</v>
      </c>
      <c r="B557" s="4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3" t="s">
        <v>588</v>
      </c>
      <c r="B558" s="4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false" outlineLevel="0" collapsed="false">
      <c r="A559" s="3" t="s">
        <v>589</v>
      </c>
      <c r="B559" s="4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3" t="s">
        <v>590</v>
      </c>
      <c r="B560" s="4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false" outlineLevel="0" collapsed="false">
      <c r="A561" s="3" t="s">
        <v>591</v>
      </c>
      <c r="B561" s="4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3" t="s">
        <v>592</v>
      </c>
      <c r="B562" s="4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false" outlineLevel="0" collapsed="false">
      <c r="A563" s="3" t="s">
        <v>593</v>
      </c>
      <c r="B563" s="4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3" t="s">
        <v>594</v>
      </c>
      <c r="B564" s="4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false" outlineLevel="0" collapsed="false">
      <c r="A565" s="3" t="s">
        <v>595</v>
      </c>
      <c r="B565" s="4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3" t="s">
        <v>596</v>
      </c>
      <c r="B566" s="4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false" outlineLevel="0" collapsed="false">
      <c r="A567" s="3" t="s">
        <v>597</v>
      </c>
      <c r="B567" s="4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3" t="s">
        <v>598</v>
      </c>
      <c r="B568" s="4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false" outlineLevel="0" collapsed="false">
      <c r="A569" s="3" t="s">
        <v>599</v>
      </c>
      <c r="B569" s="4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3" t="s">
        <v>600</v>
      </c>
      <c r="B570" s="4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false" outlineLevel="0" collapsed="false">
      <c r="A571" s="3" t="s">
        <v>601</v>
      </c>
      <c r="B571" s="4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3" t="s">
        <v>602</v>
      </c>
      <c r="B572" s="4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false" outlineLevel="0" collapsed="false">
      <c r="A573" s="3" t="s">
        <v>603</v>
      </c>
      <c r="B573" s="4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3" t="s">
        <v>604</v>
      </c>
      <c r="B574" s="4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false" outlineLevel="0" collapsed="false">
      <c r="A575" s="3" t="s">
        <v>605</v>
      </c>
      <c r="B575" s="4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3" t="s">
        <v>606</v>
      </c>
      <c r="B576" s="4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false" outlineLevel="0" collapsed="false">
      <c r="A577" s="3" t="s">
        <v>607</v>
      </c>
      <c r="B577" s="4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3" t="s">
        <v>608</v>
      </c>
      <c r="B578" s="4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false" outlineLevel="0" collapsed="false">
      <c r="A579" s="3" t="s">
        <v>609</v>
      </c>
      <c r="B579" s="4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3" t="s">
        <v>610</v>
      </c>
      <c r="B580" s="4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false" outlineLevel="0" collapsed="false">
      <c r="A581" s="3" t="s">
        <v>611</v>
      </c>
      <c r="B581" s="4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3" t="s">
        <v>612</v>
      </c>
      <c r="B582" s="4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false" outlineLevel="0" collapsed="false">
      <c r="A583" s="3" t="s">
        <v>613</v>
      </c>
      <c r="B583" s="4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3" t="s">
        <v>614</v>
      </c>
      <c r="B584" s="4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false" outlineLevel="0" collapsed="false">
      <c r="A585" s="3" t="s">
        <v>615</v>
      </c>
      <c r="B585" s="4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3" t="s">
        <v>616</v>
      </c>
      <c r="B586" s="4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false" outlineLevel="0" collapsed="false">
      <c r="A587" s="3" t="s">
        <v>617</v>
      </c>
      <c r="B587" s="4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3" t="s">
        <v>618</v>
      </c>
      <c r="B588" s="4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false" outlineLevel="0" collapsed="false">
      <c r="A589" s="3" t="s">
        <v>619</v>
      </c>
      <c r="B589" s="4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3" t="s">
        <v>620</v>
      </c>
      <c r="B590" s="4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false" outlineLevel="0" collapsed="false">
      <c r="A591" s="3" t="s">
        <v>621</v>
      </c>
      <c r="B591" s="4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3" t="s">
        <v>622</v>
      </c>
      <c r="B592" s="4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false" outlineLevel="0" collapsed="false">
      <c r="A593" s="3" t="s">
        <v>623</v>
      </c>
      <c r="B593" s="4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3" t="s">
        <v>624</v>
      </c>
      <c r="B594" s="4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false" outlineLevel="0" collapsed="false">
      <c r="A595" s="3" t="s">
        <v>625</v>
      </c>
      <c r="B595" s="4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3" t="s">
        <v>626</v>
      </c>
      <c r="B596" s="4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false" outlineLevel="0" collapsed="false">
      <c r="A597" s="3" t="s">
        <v>627</v>
      </c>
      <c r="B597" s="4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3" t="s">
        <v>628</v>
      </c>
      <c r="B598" s="4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false" outlineLevel="0" collapsed="false">
      <c r="A599" s="3" t="s">
        <v>629</v>
      </c>
      <c r="B599" s="4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3" t="s">
        <v>630</v>
      </c>
      <c r="B600" s="4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false" outlineLevel="0" collapsed="false">
      <c r="A601" s="3" t="s">
        <v>631</v>
      </c>
      <c r="B601" s="4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3" t="s">
        <v>632</v>
      </c>
      <c r="B602" s="4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false" outlineLevel="0" collapsed="false">
      <c r="A603" s="3" t="s">
        <v>633</v>
      </c>
      <c r="B603" s="4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3" t="s">
        <v>634</v>
      </c>
      <c r="B604" s="4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false" outlineLevel="0" collapsed="false">
      <c r="A605" s="3" t="s">
        <v>635</v>
      </c>
      <c r="B605" s="4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3" t="s">
        <v>636</v>
      </c>
      <c r="B606" s="4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false" outlineLevel="0" collapsed="false">
      <c r="A607" s="3" t="s">
        <v>637</v>
      </c>
      <c r="B607" s="4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3" t="s">
        <v>638</v>
      </c>
      <c r="B608" s="4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false" outlineLevel="0" collapsed="false">
      <c r="A609" s="3" t="s">
        <v>639</v>
      </c>
      <c r="B609" s="4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3" t="s">
        <v>640</v>
      </c>
      <c r="B610" s="4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false" outlineLevel="0" collapsed="false">
      <c r="A611" s="3" t="s">
        <v>641</v>
      </c>
      <c r="B611" s="4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3" t="s">
        <v>642</v>
      </c>
      <c r="B612" s="4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false" outlineLevel="0" collapsed="false">
      <c r="A613" s="3" t="s">
        <v>643</v>
      </c>
      <c r="B613" s="4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3" t="s">
        <v>644</v>
      </c>
      <c r="B614" s="4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false" outlineLevel="0" collapsed="false">
      <c r="A615" s="3" t="s">
        <v>645</v>
      </c>
      <c r="B615" s="4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3" t="s">
        <v>646</v>
      </c>
      <c r="B616" s="4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false" outlineLevel="0" collapsed="false">
      <c r="A617" s="3" t="s">
        <v>647</v>
      </c>
      <c r="B617" s="4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3" t="s">
        <v>648</v>
      </c>
      <c r="B618" s="4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false" outlineLevel="0" collapsed="false">
      <c r="A619" s="3" t="s">
        <v>649</v>
      </c>
      <c r="B619" s="4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3" t="s">
        <v>650</v>
      </c>
      <c r="B620" s="4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false" outlineLevel="0" collapsed="false">
      <c r="A621" s="3" t="s">
        <v>651</v>
      </c>
      <c r="B621" s="4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3" t="s">
        <v>652</v>
      </c>
      <c r="B622" s="4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false" outlineLevel="0" collapsed="false">
      <c r="A623" s="3" t="s">
        <v>653</v>
      </c>
      <c r="B623" s="4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3" t="s">
        <v>654</v>
      </c>
      <c r="B624" s="4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false" outlineLevel="0" collapsed="false">
      <c r="A625" s="3" t="s">
        <v>655</v>
      </c>
      <c r="B625" s="4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3" t="s">
        <v>656</v>
      </c>
      <c r="B626" s="4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false" outlineLevel="0" collapsed="false">
      <c r="A627" s="3" t="s">
        <v>657</v>
      </c>
      <c r="B627" s="4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3" t="s">
        <v>658</v>
      </c>
      <c r="B628" s="4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false" outlineLevel="0" collapsed="false">
      <c r="A629" s="3" t="s">
        <v>659</v>
      </c>
      <c r="B629" s="4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3" t="s">
        <v>660</v>
      </c>
      <c r="B630" s="4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false" outlineLevel="0" collapsed="false">
      <c r="A631" s="3" t="s">
        <v>661</v>
      </c>
      <c r="B631" s="4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3" t="s">
        <v>662</v>
      </c>
      <c r="B632" s="4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false" outlineLevel="0" collapsed="false">
      <c r="A633" s="3" t="s">
        <v>663</v>
      </c>
      <c r="B633" s="4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false" outlineLevel="0" collapsed="false">
      <c r="A634" s="3" t="s">
        <v>664</v>
      </c>
      <c r="B634" s="4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false" outlineLevel="0" collapsed="false">
      <c r="A635" s="3" t="s">
        <v>665</v>
      </c>
      <c r="B635" s="4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3" t="s">
        <v>666</v>
      </c>
      <c r="B636" s="4" t="n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false" outlineLevel="0" collapsed="false">
      <c r="A637" s="3" t="s">
        <v>667</v>
      </c>
      <c r="B637" s="4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3" t="s">
        <v>668</v>
      </c>
      <c r="B638" s="4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false" outlineLevel="0" collapsed="false">
      <c r="A639" s="3" t="s">
        <v>669</v>
      </c>
      <c r="B639" s="4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3" t="s">
        <v>670</v>
      </c>
      <c r="B640" s="4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false" outlineLevel="0" collapsed="false">
      <c r="A641" s="3" t="s">
        <v>671</v>
      </c>
      <c r="B641" s="4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3" t="s">
        <v>672</v>
      </c>
      <c r="B642" s="4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false" outlineLevel="0" collapsed="false">
      <c r="A643" s="3" t="s">
        <v>673</v>
      </c>
      <c r="B643" s="4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3" t="s">
        <v>674</v>
      </c>
      <c r="B644" s="4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false" outlineLevel="0" collapsed="false">
      <c r="A645" s="3" t="s">
        <v>675</v>
      </c>
      <c r="B645" s="4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3" t="s">
        <v>676</v>
      </c>
      <c r="B646" s="4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false" outlineLevel="0" collapsed="false">
      <c r="A647" s="3" t="s">
        <v>677</v>
      </c>
      <c r="B647" s="4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3" t="s">
        <v>678</v>
      </c>
      <c r="B648" s="4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false" outlineLevel="0" collapsed="false">
      <c r="A649" s="3" t="s">
        <v>679</v>
      </c>
      <c r="B649" s="4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3" t="s">
        <v>680</v>
      </c>
      <c r="B650" s="4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false" outlineLevel="0" collapsed="false">
      <c r="A651" s="3" t="s">
        <v>681</v>
      </c>
      <c r="B651" s="4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3" t="s">
        <v>682</v>
      </c>
      <c r="B652" s="4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false" outlineLevel="0" collapsed="false">
      <c r="A653" s="3" t="s">
        <v>683</v>
      </c>
      <c r="B653" s="4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3" t="s">
        <v>684</v>
      </c>
      <c r="B654" s="4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false" outlineLevel="0" collapsed="false">
      <c r="A655" s="3" t="s">
        <v>685</v>
      </c>
      <c r="B655" s="4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3" t="s">
        <v>686</v>
      </c>
      <c r="B656" s="4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false" outlineLevel="0" collapsed="false">
      <c r="A657" s="3" t="s">
        <v>687</v>
      </c>
      <c r="B657" s="4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3" t="s">
        <v>688</v>
      </c>
      <c r="B658" s="4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false" outlineLevel="0" collapsed="false">
      <c r="A659" s="3" t="s">
        <v>689</v>
      </c>
      <c r="B659" s="4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3" t="s">
        <v>690</v>
      </c>
      <c r="B660" s="4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false" outlineLevel="0" collapsed="false">
      <c r="A661" s="3" t="s">
        <v>691</v>
      </c>
      <c r="B661" s="4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3" t="s">
        <v>692</v>
      </c>
      <c r="B662" s="4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false" outlineLevel="0" collapsed="false">
      <c r="A663" s="3" t="s">
        <v>693</v>
      </c>
      <c r="B663" s="4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3" t="s">
        <v>694</v>
      </c>
      <c r="B664" s="4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false" outlineLevel="0" collapsed="false">
      <c r="A665" s="3" t="s">
        <v>695</v>
      </c>
      <c r="B665" s="4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3" t="s">
        <v>696</v>
      </c>
      <c r="B666" s="4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false" outlineLevel="0" collapsed="false">
      <c r="A667" s="3" t="s">
        <v>697</v>
      </c>
      <c r="B667" s="4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3" t="s">
        <v>698</v>
      </c>
      <c r="B668" s="4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false" outlineLevel="0" collapsed="false">
      <c r="A669" s="3" t="s">
        <v>699</v>
      </c>
      <c r="B669" s="4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3" t="s">
        <v>700</v>
      </c>
      <c r="B670" s="4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false" outlineLevel="0" collapsed="false">
      <c r="A671" s="3" t="s">
        <v>701</v>
      </c>
      <c r="B671" s="4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3" t="s">
        <v>702</v>
      </c>
      <c r="B672" s="4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false" outlineLevel="0" collapsed="false">
      <c r="A673" s="3" t="s">
        <v>703</v>
      </c>
      <c r="B673" s="4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3" t="s">
        <v>704</v>
      </c>
      <c r="B674" s="4" t="n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false" outlineLevel="0" collapsed="false">
      <c r="A675" s="3" t="s">
        <v>705</v>
      </c>
      <c r="B675" s="4" t="n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3" t="s">
        <v>706</v>
      </c>
      <c r="B676" s="4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false" outlineLevel="0" collapsed="false">
      <c r="A677" s="3" t="s">
        <v>707</v>
      </c>
      <c r="B677" s="4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3" t="s">
        <v>708</v>
      </c>
      <c r="B678" s="4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false" outlineLevel="0" collapsed="false">
      <c r="A679" s="3" t="s">
        <v>709</v>
      </c>
      <c r="B679" s="4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3" t="s">
        <v>710</v>
      </c>
      <c r="B680" s="4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false" outlineLevel="0" collapsed="false">
      <c r="A681" s="3" t="s">
        <v>711</v>
      </c>
      <c r="B681" s="4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3" t="s">
        <v>712</v>
      </c>
      <c r="B682" s="4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false" outlineLevel="0" collapsed="false">
      <c r="A683" s="3" t="s">
        <v>713</v>
      </c>
      <c r="B683" s="4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3" t="s">
        <v>714</v>
      </c>
      <c r="B684" s="4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false" outlineLevel="0" collapsed="false">
      <c r="A685" s="3" t="s">
        <v>715</v>
      </c>
      <c r="B685" s="4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3" t="s">
        <v>716</v>
      </c>
      <c r="B686" s="4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false" outlineLevel="0" collapsed="false">
      <c r="A687" s="3" t="s">
        <v>717</v>
      </c>
      <c r="B687" s="4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3" t="s">
        <v>718</v>
      </c>
      <c r="B688" s="4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false" outlineLevel="0" collapsed="false">
      <c r="A689" s="3" t="s">
        <v>719</v>
      </c>
      <c r="B689" s="4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3" t="s">
        <v>720</v>
      </c>
      <c r="B690" s="4" t="n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false" outlineLevel="0" collapsed="false">
      <c r="A691" s="3" t="s">
        <v>721</v>
      </c>
      <c r="B691" s="4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3" t="s">
        <v>722</v>
      </c>
      <c r="B692" s="4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false" outlineLevel="0" collapsed="false">
      <c r="A693" s="3" t="s">
        <v>724</v>
      </c>
      <c r="B693" s="4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3" t="s">
        <v>725</v>
      </c>
      <c r="B694" s="4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false" outlineLevel="0" collapsed="false">
      <c r="A695" s="3" t="s">
        <v>726</v>
      </c>
      <c r="B695" s="4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false" outlineLevel="0" collapsed="false">
      <c r="A696" s="3" t="s">
        <v>727</v>
      </c>
      <c r="B696" s="4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false" outlineLevel="0" collapsed="false">
      <c r="A697" s="3" t="s">
        <v>728</v>
      </c>
      <c r="B697" s="4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3" t="s">
        <v>729</v>
      </c>
      <c r="B698" s="4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false" outlineLevel="0" collapsed="false">
      <c r="A699" s="3" t="s">
        <v>730</v>
      </c>
      <c r="B699" s="4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3" t="s">
        <v>731</v>
      </c>
      <c r="B700" s="4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false" outlineLevel="0" collapsed="false">
      <c r="A701" s="3" t="s">
        <v>732</v>
      </c>
      <c r="B701" s="4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3" t="s">
        <v>733</v>
      </c>
      <c r="B702" s="4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false" outlineLevel="0" collapsed="false">
      <c r="A703" s="3" t="s">
        <v>734</v>
      </c>
      <c r="B703" s="4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3" t="s">
        <v>735</v>
      </c>
      <c r="B704" s="4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false" outlineLevel="0" collapsed="false">
      <c r="A705" s="3" t="s">
        <v>736</v>
      </c>
      <c r="B705" s="4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3" t="s">
        <v>737</v>
      </c>
      <c r="B706" s="4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false" outlineLevel="0" collapsed="false">
      <c r="A707" s="3" t="s">
        <v>738</v>
      </c>
      <c r="B707" s="4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3" t="s">
        <v>739</v>
      </c>
      <c r="B708" s="4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false" outlineLevel="0" collapsed="false">
      <c r="A709" s="3" t="s">
        <v>740</v>
      </c>
      <c r="B709" s="4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3" t="s">
        <v>741</v>
      </c>
      <c r="B710" s="4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false" outlineLevel="0" collapsed="false">
      <c r="A711" s="3" t="s">
        <v>742</v>
      </c>
      <c r="B711" s="4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3" t="s">
        <v>743</v>
      </c>
      <c r="B712" s="4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false" outlineLevel="0" collapsed="false">
      <c r="A713" s="3" t="s">
        <v>744</v>
      </c>
      <c r="B713" s="4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3" t="s">
        <v>745</v>
      </c>
      <c r="B714" s="4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false" outlineLevel="0" collapsed="false">
      <c r="A715" s="3" t="s">
        <v>746</v>
      </c>
      <c r="B715" s="4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3" t="s">
        <v>747</v>
      </c>
      <c r="B716" s="4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false" outlineLevel="0" collapsed="false">
      <c r="A717" s="3" t="s">
        <v>748</v>
      </c>
      <c r="B717" s="4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3" t="s">
        <v>749</v>
      </c>
      <c r="B718" s="4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false" outlineLevel="0" collapsed="false">
      <c r="A719" s="3" t="s">
        <v>750</v>
      </c>
      <c r="B719" s="4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3" t="s">
        <v>751</v>
      </c>
      <c r="B720" s="4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false" outlineLevel="0" collapsed="false">
      <c r="A721" s="3" t="s">
        <v>752</v>
      </c>
      <c r="B721" s="4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3" t="s">
        <v>753</v>
      </c>
      <c r="B722" s="4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false" outlineLevel="0" collapsed="false">
      <c r="A723" s="3" t="s">
        <v>754</v>
      </c>
      <c r="B723" s="4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3" t="s">
        <v>755</v>
      </c>
      <c r="B724" s="4" t="n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false" outlineLevel="0" collapsed="false">
      <c r="A725" s="3" t="s">
        <v>756</v>
      </c>
      <c r="B725" s="4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3" t="s">
        <v>757</v>
      </c>
      <c r="B726" s="4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false" outlineLevel="0" collapsed="false">
      <c r="A727" s="3" t="s">
        <v>758</v>
      </c>
      <c r="B727" s="4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3" t="s">
        <v>759</v>
      </c>
      <c r="B728" s="4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false" outlineLevel="0" collapsed="false">
      <c r="A729" s="3" t="s">
        <v>760</v>
      </c>
      <c r="B729" s="4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3" t="s">
        <v>761</v>
      </c>
      <c r="B730" s="4" t="n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false" outlineLevel="0" collapsed="false">
      <c r="A731" s="3" t="s">
        <v>762</v>
      </c>
      <c r="B731" s="4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3" t="s">
        <v>763</v>
      </c>
      <c r="B732" s="4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false" outlineLevel="0" collapsed="false">
      <c r="A733" s="3" t="s">
        <v>764</v>
      </c>
      <c r="B733" s="4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3" t="s">
        <v>765</v>
      </c>
      <c r="B734" s="4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false" outlineLevel="0" collapsed="false">
      <c r="A735" s="3" t="s">
        <v>766</v>
      </c>
      <c r="B735" s="4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3" t="s">
        <v>767</v>
      </c>
      <c r="B736" s="4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false" outlineLevel="0" collapsed="false">
      <c r="A737" s="3" t="s">
        <v>768</v>
      </c>
      <c r="B737" s="4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3" t="s">
        <v>769</v>
      </c>
      <c r="B738" s="4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false" outlineLevel="0" collapsed="false">
      <c r="A739" s="3" t="s">
        <v>770</v>
      </c>
      <c r="B739" s="4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3" t="s">
        <v>771</v>
      </c>
      <c r="B740" s="4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false" outlineLevel="0" collapsed="false">
      <c r="A741" s="3" t="s">
        <v>772</v>
      </c>
      <c r="B741" s="4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3" t="s">
        <v>773</v>
      </c>
      <c r="B742" s="4" t="n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false" outlineLevel="0" collapsed="false">
      <c r="A743" s="3" t="s">
        <v>774</v>
      </c>
      <c r="B743" s="4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3" t="s">
        <v>775</v>
      </c>
      <c r="B744" s="4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false" outlineLevel="0" collapsed="false">
      <c r="A745" s="3" t="s">
        <v>776</v>
      </c>
      <c r="B745" s="4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3" t="s">
        <v>777</v>
      </c>
      <c r="B746" s="4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false" outlineLevel="0" collapsed="false">
      <c r="A747" s="3" t="s">
        <v>778</v>
      </c>
      <c r="B747" s="4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3" t="s">
        <v>779</v>
      </c>
      <c r="B748" s="4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false" outlineLevel="0" collapsed="false">
      <c r="A749" s="3" t="s">
        <v>780</v>
      </c>
      <c r="B749" s="4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3" t="s">
        <v>781</v>
      </c>
      <c r="B750" s="4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false" outlineLevel="0" collapsed="false">
      <c r="A751" s="3" t="s">
        <v>782</v>
      </c>
      <c r="B751" s="4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3" t="s">
        <v>783</v>
      </c>
      <c r="B752" s="4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false" outlineLevel="0" collapsed="false">
      <c r="A753" s="3" t="s">
        <v>784</v>
      </c>
      <c r="B753" s="4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3" t="s">
        <v>785</v>
      </c>
      <c r="B754" s="4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false" outlineLevel="0" collapsed="false">
      <c r="A755" s="3" t="s">
        <v>786</v>
      </c>
      <c r="B755" s="4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3" t="s">
        <v>787</v>
      </c>
      <c r="B756" s="4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false" outlineLevel="0" collapsed="false">
      <c r="A757" s="3" t="s">
        <v>788</v>
      </c>
      <c r="B757" s="4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3" t="s">
        <v>789</v>
      </c>
      <c r="B758" s="4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false" outlineLevel="0" collapsed="false">
      <c r="A759" s="3" t="s">
        <v>790</v>
      </c>
      <c r="B759" s="4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3" t="s">
        <v>791</v>
      </c>
      <c r="B760" s="4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false" outlineLevel="0" collapsed="false">
      <c r="A761" s="3" t="s">
        <v>792</v>
      </c>
      <c r="B761" s="4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3" t="s">
        <v>793</v>
      </c>
      <c r="B762" s="4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false" outlineLevel="0" collapsed="false">
      <c r="A763" s="3" t="s">
        <v>794</v>
      </c>
      <c r="B763" s="4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false" outlineLevel="0" collapsed="false">
      <c r="A764" s="3" t="s">
        <v>795</v>
      </c>
      <c r="B764" s="4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false" outlineLevel="0" collapsed="false">
      <c r="A765" s="3" t="s">
        <v>796</v>
      </c>
      <c r="B765" s="4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3" t="s">
        <v>797</v>
      </c>
      <c r="B766" s="4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false" outlineLevel="0" collapsed="false">
      <c r="A767" s="3" t="s">
        <v>798</v>
      </c>
      <c r="B767" s="4" t="n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3" t="s">
        <v>799</v>
      </c>
      <c r="B768" s="4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false" outlineLevel="0" collapsed="false">
      <c r="A769" s="3" t="s">
        <v>800</v>
      </c>
      <c r="B769" s="4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3" t="s">
        <v>801</v>
      </c>
      <c r="B770" s="4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false" outlineLevel="0" collapsed="false">
      <c r="A771" s="3" t="s">
        <v>802</v>
      </c>
      <c r="B771" s="4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3" t="s">
        <v>803</v>
      </c>
      <c r="B772" s="4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false" outlineLevel="0" collapsed="false">
      <c r="A773" s="3" t="s">
        <v>804</v>
      </c>
      <c r="B773" s="4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3" t="s">
        <v>805</v>
      </c>
      <c r="B774" s="4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false" outlineLevel="0" collapsed="false">
      <c r="A775" s="3" t="s">
        <v>806</v>
      </c>
      <c r="B775" s="4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3" t="s">
        <v>807</v>
      </c>
      <c r="B776" s="4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false" outlineLevel="0" collapsed="false">
      <c r="A777" s="3" t="s">
        <v>808</v>
      </c>
      <c r="B777" s="4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3" t="s">
        <v>809</v>
      </c>
      <c r="B778" s="4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false" outlineLevel="0" collapsed="false">
      <c r="A779" s="3" t="s">
        <v>810</v>
      </c>
      <c r="B779" s="4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3" t="s">
        <v>811</v>
      </c>
      <c r="B780" s="4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false" outlineLevel="0" collapsed="false">
      <c r="A781" s="3" t="s">
        <v>812</v>
      </c>
      <c r="B781" s="4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3" t="s">
        <v>813</v>
      </c>
      <c r="B782" s="4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false" outlineLevel="0" collapsed="false">
      <c r="A783" s="3" t="s">
        <v>814</v>
      </c>
      <c r="B783" s="4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3" t="s">
        <v>815</v>
      </c>
      <c r="B784" s="4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false" outlineLevel="0" collapsed="false">
      <c r="A785" s="3" t="s">
        <v>816</v>
      </c>
      <c r="B785" s="4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3" t="s">
        <v>817</v>
      </c>
      <c r="B786" s="4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false" outlineLevel="0" collapsed="false">
      <c r="A787" s="3" t="s">
        <v>818</v>
      </c>
      <c r="B787" s="4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3" t="s">
        <v>819</v>
      </c>
      <c r="B788" s="4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false" outlineLevel="0" collapsed="false">
      <c r="A789" s="3" t="s">
        <v>820</v>
      </c>
      <c r="B789" s="4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3" t="s">
        <v>821</v>
      </c>
      <c r="B790" s="4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false" outlineLevel="0" collapsed="false">
      <c r="A791" s="3" t="s">
        <v>822</v>
      </c>
      <c r="B791" s="4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3" t="s">
        <v>823</v>
      </c>
      <c r="B792" s="4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false" outlineLevel="0" collapsed="false">
      <c r="A793" s="3" t="s">
        <v>824</v>
      </c>
      <c r="B793" s="4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3" t="s">
        <v>825</v>
      </c>
      <c r="B794" s="4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false" outlineLevel="0" collapsed="false">
      <c r="A795" s="3" t="s">
        <v>826</v>
      </c>
      <c r="B795" s="4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3" t="s">
        <v>827</v>
      </c>
      <c r="B796" s="4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false" outlineLevel="0" collapsed="false">
      <c r="A797" s="3" t="s">
        <v>828</v>
      </c>
      <c r="B797" s="4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3" t="s">
        <v>829</v>
      </c>
      <c r="B798" s="4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false" outlineLevel="0" collapsed="false">
      <c r="A799" s="3" t="s">
        <v>830</v>
      </c>
      <c r="B799" s="4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3" t="s">
        <v>831</v>
      </c>
      <c r="B800" s="4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false" outlineLevel="0" collapsed="false">
      <c r="A801" s="3" t="s">
        <v>832</v>
      </c>
      <c r="B801" s="4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3" t="s">
        <v>833</v>
      </c>
      <c r="B802" s="4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false" outlineLevel="0" collapsed="false">
      <c r="A803" s="3" t="s">
        <v>834</v>
      </c>
      <c r="B803" s="4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3" t="s">
        <v>835</v>
      </c>
      <c r="B804" s="4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false" outlineLevel="0" collapsed="false">
      <c r="A805" s="3" t="s">
        <v>836</v>
      </c>
      <c r="B805" s="4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3" t="s">
        <v>837</v>
      </c>
      <c r="B806" s="4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false" outlineLevel="0" collapsed="false">
      <c r="A807" s="3" t="s">
        <v>838</v>
      </c>
      <c r="B807" s="4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3" t="s">
        <v>839</v>
      </c>
      <c r="B808" s="4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false" outlineLevel="0" collapsed="false">
      <c r="A809" s="3" t="s">
        <v>840</v>
      </c>
      <c r="B809" s="4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3" t="s">
        <v>841</v>
      </c>
      <c r="B810" s="4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false" outlineLevel="0" collapsed="false">
      <c r="A811" s="3" t="s">
        <v>842</v>
      </c>
      <c r="B811" s="4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3" t="s">
        <v>843</v>
      </c>
      <c r="B812" s="4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false" outlineLevel="0" collapsed="false">
      <c r="A813" s="3" t="s">
        <v>844</v>
      </c>
      <c r="B813" s="4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3" t="s">
        <v>845</v>
      </c>
      <c r="B814" s="4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false" outlineLevel="0" collapsed="false">
      <c r="A815" s="3" t="s">
        <v>846</v>
      </c>
      <c r="B815" s="4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3" t="s">
        <v>847</v>
      </c>
      <c r="B816" s="4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false" outlineLevel="0" collapsed="false">
      <c r="A817" s="3" t="s">
        <v>848</v>
      </c>
      <c r="B817" s="4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3" t="s">
        <v>849</v>
      </c>
      <c r="B818" s="4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false" outlineLevel="0" collapsed="false">
      <c r="A819" s="3" t="s">
        <v>850</v>
      </c>
      <c r="B819" s="4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3" t="s">
        <v>851</v>
      </c>
      <c r="B820" s="4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false" outlineLevel="0" collapsed="false">
      <c r="A821" s="3" t="s">
        <v>852</v>
      </c>
      <c r="B821" s="4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3" t="s">
        <v>853</v>
      </c>
      <c r="B822" s="4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false" outlineLevel="0" collapsed="false">
      <c r="A823" s="3" t="s">
        <v>854</v>
      </c>
      <c r="B823" s="4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3" t="s">
        <v>855</v>
      </c>
      <c r="B824" s="4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false" outlineLevel="0" collapsed="false">
      <c r="A825" s="3" t="s">
        <v>856</v>
      </c>
      <c r="B825" s="4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3" t="s">
        <v>857</v>
      </c>
      <c r="B826" s="4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false" outlineLevel="0" collapsed="false">
      <c r="A827" s="3" t="s">
        <v>858</v>
      </c>
      <c r="B827" s="4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3" t="s">
        <v>859</v>
      </c>
      <c r="B828" s="4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false" outlineLevel="0" collapsed="false">
      <c r="A829" s="3" t="s">
        <v>860</v>
      </c>
      <c r="B829" s="4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3" t="s">
        <v>861</v>
      </c>
      <c r="B830" s="4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false" outlineLevel="0" collapsed="false">
      <c r="A831" s="3" t="s">
        <v>862</v>
      </c>
      <c r="B831" s="4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3" t="s">
        <v>863</v>
      </c>
      <c r="B832" s="4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false" outlineLevel="0" collapsed="false">
      <c r="A833" s="3" t="s">
        <v>864</v>
      </c>
      <c r="B833" s="4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3" t="s">
        <v>865</v>
      </c>
      <c r="B834" s="4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false" outlineLevel="0" collapsed="false">
      <c r="A835" s="3" t="s">
        <v>866</v>
      </c>
      <c r="B835" s="4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3" t="s">
        <v>867</v>
      </c>
      <c r="B836" s="4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false" outlineLevel="0" collapsed="false">
      <c r="A837" s="3" t="s">
        <v>868</v>
      </c>
      <c r="B837" s="4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3" t="s">
        <v>869</v>
      </c>
      <c r="B838" s="4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false" outlineLevel="0" collapsed="false">
      <c r="A839" s="3" t="s">
        <v>870</v>
      </c>
      <c r="B839" s="4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3" t="s">
        <v>871</v>
      </c>
      <c r="B840" s="4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false" outlineLevel="0" collapsed="false">
      <c r="A841" s="3" t="s">
        <v>872</v>
      </c>
      <c r="B841" s="4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3" t="s">
        <v>873</v>
      </c>
      <c r="B842" s="4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false" outlineLevel="0" collapsed="false">
      <c r="A843" s="3" t="s">
        <v>874</v>
      </c>
      <c r="B843" s="4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3" t="s">
        <v>875</v>
      </c>
      <c r="B844" s="4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false" outlineLevel="0" collapsed="false">
      <c r="A845" s="3" t="s">
        <v>876</v>
      </c>
      <c r="B845" s="4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3" t="s">
        <v>877</v>
      </c>
      <c r="B846" s="4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false" outlineLevel="0" collapsed="false">
      <c r="A847" s="3" t="s">
        <v>878</v>
      </c>
      <c r="B847" s="4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3" t="s">
        <v>879</v>
      </c>
      <c r="B848" s="4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false" outlineLevel="0" collapsed="false">
      <c r="A849" s="3" t="s">
        <v>880</v>
      </c>
      <c r="B849" s="4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3" t="s">
        <v>881</v>
      </c>
      <c r="B850" s="4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false" outlineLevel="0" collapsed="false">
      <c r="A851" s="3" t="s">
        <v>882</v>
      </c>
      <c r="B851" s="4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3" t="s">
        <v>883</v>
      </c>
      <c r="B852" s="4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false" outlineLevel="0" collapsed="false">
      <c r="A853" s="3" t="s">
        <v>884</v>
      </c>
      <c r="B853" s="4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3" t="s">
        <v>885</v>
      </c>
      <c r="B854" s="4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false" outlineLevel="0" collapsed="false">
      <c r="A855" s="3" t="s">
        <v>886</v>
      </c>
      <c r="B855" s="4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3" t="s">
        <v>887</v>
      </c>
      <c r="B856" s="4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false" outlineLevel="0" collapsed="false">
      <c r="A857" s="3" t="s">
        <v>888</v>
      </c>
      <c r="B857" s="4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3" t="s">
        <v>889</v>
      </c>
      <c r="B858" s="4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false" outlineLevel="0" collapsed="false">
      <c r="A859" s="3" t="s">
        <v>890</v>
      </c>
      <c r="B859" s="4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3" t="s">
        <v>891</v>
      </c>
      <c r="B860" s="4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false" outlineLevel="0" collapsed="false">
      <c r="A861" s="3" t="s">
        <v>892</v>
      </c>
      <c r="B861" s="4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3" t="s">
        <v>893</v>
      </c>
      <c r="B862" s="4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false" outlineLevel="0" collapsed="false">
      <c r="A863" s="3" t="s">
        <v>894</v>
      </c>
      <c r="B863" s="4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3" t="s">
        <v>895</v>
      </c>
      <c r="B864" s="4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false" outlineLevel="0" collapsed="false">
      <c r="A865" s="3" t="s">
        <v>896</v>
      </c>
      <c r="B865" s="4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3" t="s">
        <v>897</v>
      </c>
      <c r="B866" s="4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false" outlineLevel="0" collapsed="false">
      <c r="A867" s="3" t="s">
        <v>898</v>
      </c>
      <c r="B867" s="4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3" t="s">
        <v>899</v>
      </c>
      <c r="B868" s="4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false" outlineLevel="0" collapsed="false">
      <c r="A869" s="3" t="s">
        <v>900</v>
      </c>
      <c r="B869" s="4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3" t="s">
        <v>901</v>
      </c>
      <c r="B870" s="4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false" outlineLevel="0" collapsed="false">
      <c r="A871" s="3" t="s">
        <v>902</v>
      </c>
      <c r="B871" s="4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3" t="s">
        <v>903</v>
      </c>
      <c r="B872" s="4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false" outlineLevel="0" collapsed="false">
      <c r="A873" s="3" t="s">
        <v>904</v>
      </c>
      <c r="B873" s="4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3" t="s">
        <v>905</v>
      </c>
      <c r="B874" s="4" t="n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false" outlineLevel="0" collapsed="false">
      <c r="A875" s="3" t="s">
        <v>906</v>
      </c>
      <c r="B875" s="4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3" t="s">
        <v>907</v>
      </c>
      <c r="B876" s="4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false" outlineLevel="0" collapsed="false">
      <c r="A877" s="3" t="s">
        <v>908</v>
      </c>
      <c r="B877" s="4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3" t="s">
        <v>909</v>
      </c>
      <c r="B878" s="4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false" outlineLevel="0" collapsed="false">
      <c r="A879" s="3" t="s">
        <v>910</v>
      </c>
      <c r="B879" s="4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3" t="s">
        <v>911</v>
      </c>
      <c r="B880" s="4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false" outlineLevel="0" collapsed="false">
      <c r="A881" s="3" t="s">
        <v>912</v>
      </c>
      <c r="B881" s="4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3" t="s">
        <v>913</v>
      </c>
      <c r="B882" s="4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false" outlineLevel="0" collapsed="false">
      <c r="A883" s="3" t="s">
        <v>914</v>
      </c>
      <c r="B883" s="4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3" t="s">
        <v>915</v>
      </c>
      <c r="B884" s="4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false" outlineLevel="0" collapsed="false">
      <c r="A885" s="3" t="s">
        <v>916</v>
      </c>
      <c r="B885" s="4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3" t="s">
        <v>917</v>
      </c>
      <c r="B886" s="4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false" outlineLevel="0" collapsed="false">
      <c r="A887" s="3" t="s">
        <v>918</v>
      </c>
      <c r="B887" s="4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3" t="s">
        <v>919</v>
      </c>
      <c r="B888" s="4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false" outlineLevel="0" collapsed="false">
      <c r="A889" s="3" t="s">
        <v>920</v>
      </c>
      <c r="B889" s="4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3" t="s">
        <v>921</v>
      </c>
      <c r="B890" s="4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false" outlineLevel="0" collapsed="false">
      <c r="A891" s="3" t="s">
        <v>922</v>
      </c>
      <c r="B891" s="4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3" t="s">
        <v>923</v>
      </c>
      <c r="B892" s="4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false" outlineLevel="0" collapsed="false">
      <c r="A893" s="3" t="s">
        <v>924</v>
      </c>
      <c r="B893" s="4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3" t="s">
        <v>925</v>
      </c>
      <c r="B894" s="4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false" outlineLevel="0" collapsed="false">
      <c r="A895" s="3" t="s">
        <v>926</v>
      </c>
      <c r="B895" s="4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3" t="s">
        <v>927</v>
      </c>
      <c r="B896" s="4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false" outlineLevel="0" collapsed="false">
      <c r="A897" s="3" t="s">
        <v>928</v>
      </c>
      <c r="B897" s="4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3" t="s">
        <v>929</v>
      </c>
      <c r="B898" s="4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false" outlineLevel="0" collapsed="false">
      <c r="A899" s="3" t="s">
        <v>930</v>
      </c>
      <c r="B899" s="4" t="n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3" t="s">
        <v>931</v>
      </c>
      <c r="B900" s="4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false" outlineLevel="0" collapsed="false">
      <c r="A901" s="3" t="s">
        <v>932</v>
      </c>
      <c r="B901" s="4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3" t="s">
        <v>933</v>
      </c>
      <c r="B902" s="4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false" outlineLevel="0" collapsed="false">
      <c r="A903" s="3" t="s">
        <v>934</v>
      </c>
      <c r="B903" s="4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3" t="s">
        <v>935</v>
      </c>
      <c r="B904" s="4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false" outlineLevel="0" collapsed="false">
      <c r="A905" s="3" t="s">
        <v>936</v>
      </c>
      <c r="B905" s="4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3" t="s">
        <v>937</v>
      </c>
      <c r="B906" s="4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false" outlineLevel="0" collapsed="false">
      <c r="A907" s="3" t="s">
        <v>938</v>
      </c>
      <c r="B907" s="4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3" t="s">
        <v>939</v>
      </c>
      <c r="B908" s="4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false" outlineLevel="0" collapsed="false">
      <c r="A909" s="3" t="s">
        <v>940</v>
      </c>
      <c r="B909" s="4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3" t="s">
        <v>941</v>
      </c>
      <c r="B910" s="4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false" outlineLevel="0" collapsed="false">
      <c r="A911" s="3" t="s">
        <v>942</v>
      </c>
      <c r="B911" s="4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3" t="s">
        <v>943</v>
      </c>
      <c r="B912" s="4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false" outlineLevel="0" collapsed="false">
      <c r="A913" s="3" t="s">
        <v>944</v>
      </c>
      <c r="B913" s="4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3" t="s">
        <v>945</v>
      </c>
      <c r="B914" s="4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false" outlineLevel="0" collapsed="false">
      <c r="A915" s="3" t="s">
        <v>946</v>
      </c>
      <c r="B915" s="4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3" t="s">
        <v>947</v>
      </c>
      <c r="B916" s="4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false" outlineLevel="0" collapsed="false">
      <c r="A917" s="3" t="s">
        <v>948</v>
      </c>
      <c r="B917" s="4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3" t="s">
        <v>949</v>
      </c>
      <c r="B918" s="4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false" outlineLevel="0" collapsed="false">
      <c r="A919" s="3" t="s">
        <v>950</v>
      </c>
      <c r="B919" s="4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3" t="s">
        <v>951</v>
      </c>
      <c r="B920" s="4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false" outlineLevel="0" collapsed="false">
      <c r="A921" s="3" t="s">
        <v>952</v>
      </c>
      <c r="B921" s="4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3" t="s">
        <v>953</v>
      </c>
      <c r="B922" s="4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false" outlineLevel="0" collapsed="false">
      <c r="A923" s="3" t="s">
        <v>954</v>
      </c>
      <c r="B923" s="4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3" t="s">
        <v>955</v>
      </c>
      <c r="B924" s="4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false" outlineLevel="0" collapsed="false">
      <c r="A925" s="3" t="s">
        <v>956</v>
      </c>
      <c r="B925" s="4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3" t="s">
        <v>957</v>
      </c>
      <c r="B926" s="4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false" outlineLevel="0" collapsed="false">
      <c r="A927" s="3" t="s">
        <v>958</v>
      </c>
      <c r="B927" s="4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3" t="s">
        <v>959</v>
      </c>
      <c r="B928" s="4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false" outlineLevel="0" collapsed="false">
      <c r="A929" s="3" t="s">
        <v>960</v>
      </c>
      <c r="B929" s="4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3" t="s">
        <v>961</v>
      </c>
      <c r="B930" s="4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false" outlineLevel="0" collapsed="false">
      <c r="A931" s="3" t="s">
        <v>962</v>
      </c>
      <c r="B931" s="4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3" t="s">
        <v>963</v>
      </c>
      <c r="B932" s="4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false" outlineLevel="0" collapsed="false">
      <c r="A933" s="3" t="s">
        <v>964</v>
      </c>
      <c r="B933" s="4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3" t="s">
        <v>965</v>
      </c>
      <c r="B934" s="4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false" outlineLevel="0" collapsed="false">
      <c r="A935" s="3" t="s">
        <v>966</v>
      </c>
      <c r="B935" s="4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3" t="s">
        <v>967</v>
      </c>
      <c r="B936" s="4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false" outlineLevel="0" collapsed="false">
      <c r="A937" s="3" t="s">
        <v>968</v>
      </c>
      <c r="B937" s="4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3" t="s">
        <v>969</v>
      </c>
      <c r="B938" s="4" t="n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false" outlineLevel="0" collapsed="false">
      <c r="A939" s="3" t="s">
        <v>970</v>
      </c>
      <c r="B939" s="4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3" t="s">
        <v>971</v>
      </c>
      <c r="B940" s="4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false" outlineLevel="0" collapsed="false">
      <c r="A941" s="3" t="s">
        <v>972</v>
      </c>
      <c r="B941" s="4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3" t="s">
        <v>973</v>
      </c>
      <c r="B942" s="4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false" outlineLevel="0" collapsed="false">
      <c r="A943" s="3" t="s">
        <v>974</v>
      </c>
      <c r="B943" s="4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3" t="s">
        <v>975</v>
      </c>
      <c r="B944" s="4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false" outlineLevel="0" collapsed="false">
      <c r="A945" s="3" t="s">
        <v>976</v>
      </c>
      <c r="B945" s="4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3" t="s">
        <v>977</v>
      </c>
      <c r="B946" s="4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false" outlineLevel="0" collapsed="false">
      <c r="A947" s="3" t="s">
        <v>978</v>
      </c>
      <c r="B947" s="4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3" t="s">
        <v>979</v>
      </c>
      <c r="B948" s="4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false" outlineLevel="0" collapsed="false">
      <c r="A949" s="3" t="s">
        <v>980</v>
      </c>
      <c r="B949" s="4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3" t="s">
        <v>981</v>
      </c>
      <c r="B950" s="4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false" outlineLevel="0" collapsed="false">
      <c r="A951" s="3" t="s">
        <v>982</v>
      </c>
      <c r="B951" s="4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3" t="s">
        <v>983</v>
      </c>
      <c r="B952" s="4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false" outlineLevel="0" collapsed="false">
      <c r="A953" s="3" t="s">
        <v>984</v>
      </c>
      <c r="B953" s="4" t="n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3" t="s">
        <v>985</v>
      </c>
      <c r="B954" s="4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false" outlineLevel="0" collapsed="false">
      <c r="A955" s="3" t="s">
        <v>986</v>
      </c>
      <c r="B955" s="4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3" t="s">
        <v>987</v>
      </c>
      <c r="B956" s="4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false" outlineLevel="0" collapsed="false">
      <c r="A957" s="3" t="s">
        <v>988</v>
      </c>
      <c r="B957" s="4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3" t="s">
        <v>989</v>
      </c>
      <c r="B958" s="4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false" outlineLevel="0" collapsed="false">
      <c r="A959" s="3" t="s">
        <v>990</v>
      </c>
      <c r="B959" s="4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3" t="s">
        <v>991</v>
      </c>
      <c r="B960" s="4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false" outlineLevel="0" collapsed="false">
      <c r="A961" s="3" t="s">
        <v>992</v>
      </c>
      <c r="B961" s="4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3" t="s">
        <v>993</v>
      </c>
      <c r="B962" s="4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false" outlineLevel="0" collapsed="false">
      <c r="A963" s="3" t="s">
        <v>994</v>
      </c>
      <c r="B963" s="4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3" t="s">
        <v>995</v>
      </c>
      <c r="B964" s="4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false" outlineLevel="0" collapsed="false">
      <c r="A965" s="3" t="s">
        <v>996</v>
      </c>
      <c r="B965" s="4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3" t="s">
        <v>997</v>
      </c>
      <c r="B966" s="4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false" outlineLevel="0" collapsed="false">
      <c r="A967" s="3" t="s">
        <v>998</v>
      </c>
      <c r="B967" s="4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3" t="s">
        <v>999</v>
      </c>
      <c r="B968" s="4" t="n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false" outlineLevel="0" collapsed="false">
      <c r="A969" s="3" t="s">
        <v>1000</v>
      </c>
      <c r="B969" s="4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3" t="s">
        <v>1001</v>
      </c>
      <c r="B970" s="4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false" outlineLevel="0" collapsed="false">
      <c r="A971" s="3" t="s">
        <v>1002</v>
      </c>
      <c r="B971" s="4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3" t="s">
        <v>1003</v>
      </c>
      <c r="B972" s="4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false" outlineLevel="0" collapsed="false">
      <c r="A973" s="3" t="s">
        <v>1004</v>
      </c>
      <c r="B973" s="4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3" t="s">
        <v>1005</v>
      </c>
      <c r="B974" s="4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false" outlineLevel="0" collapsed="false">
      <c r="A975" s="3" t="s">
        <v>1006</v>
      </c>
      <c r="B975" s="4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3" t="s">
        <v>1007</v>
      </c>
      <c r="B976" s="4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false" outlineLevel="0" collapsed="false">
      <c r="A977" s="3" t="s">
        <v>1008</v>
      </c>
      <c r="B977" s="4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3" t="s">
        <v>1009</v>
      </c>
      <c r="B978" s="4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false" outlineLevel="0" collapsed="false">
      <c r="A979" s="3" t="s">
        <v>1010</v>
      </c>
      <c r="B979" s="4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3" t="s">
        <v>1011</v>
      </c>
      <c r="B980" s="4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false" outlineLevel="0" collapsed="false">
      <c r="A981" s="3" t="s">
        <v>1012</v>
      </c>
      <c r="B981" s="4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3" t="s">
        <v>1013</v>
      </c>
      <c r="B982" s="4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false" outlineLevel="0" collapsed="false">
      <c r="A983" s="3" t="s">
        <v>1014</v>
      </c>
      <c r="B983" s="4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3" t="s">
        <v>1015</v>
      </c>
      <c r="B984" s="4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false" outlineLevel="0" collapsed="false">
      <c r="A985" s="3" t="s">
        <v>1016</v>
      </c>
      <c r="B985" s="4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3" t="s">
        <v>1017</v>
      </c>
      <c r="B986" s="4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false" outlineLevel="0" collapsed="false">
      <c r="A987" s="3" t="s">
        <v>1018</v>
      </c>
      <c r="B987" s="4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3" t="s">
        <v>1019</v>
      </c>
      <c r="B988" s="4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false" outlineLevel="0" collapsed="false">
      <c r="A989" s="3" t="s">
        <v>1020</v>
      </c>
      <c r="B989" s="4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3" t="s">
        <v>1021</v>
      </c>
      <c r="B990" s="4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false" outlineLevel="0" collapsed="false">
      <c r="A991" s="3" t="s">
        <v>1022</v>
      </c>
      <c r="B991" s="4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3" t="s">
        <v>1023</v>
      </c>
      <c r="B992" s="4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false" outlineLevel="0" collapsed="false">
      <c r="A993" s="3" t="s">
        <v>1024</v>
      </c>
      <c r="B993" s="4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3" t="s">
        <v>1025</v>
      </c>
      <c r="B994" s="4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false" outlineLevel="0" collapsed="false">
      <c r="A995" s="3" t="s">
        <v>1026</v>
      </c>
      <c r="B995" s="4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3" t="s">
        <v>1027</v>
      </c>
      <c r="B996" s="4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false" outlineLevel="0" collapsed="false">
      <c r="A997" s="3" t="s">
        <v>1028</v>
      </c>
      <c r="B997" s="4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3" t="s">
        <v>1029</v>
      </c>
      <c r="B998" s="4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false" outlineLevel="0" collapsed="false">
      <c r="A999" s="3" t="s">
        <v>1030</v>
      </c>
      <c r="B999" s="4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3" t="s">
        <v>1031</v>
      </c>
      <c r="B1000" s="4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false" outlineLevel="0" collapsed="false">
      <c r="A1001" s="3" t="s">
        <v>1032</v>
      </c>
      <c r="B1001" s="4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3" t="s">
        <v>1033</v>
      </c>
      <c r="B1002" s="4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false" outlineLevel="0" collapsed="false">
      <c r="A1003" s="3" t="s">
        <v>1034</v>
      </c>
      <c r="B1003" s="4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3" t="s">
        <v>1035</v>
      </c>
      <c r="B1004" s="4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false" outlineLevel="0" collapsed="false">
      <c r="A1005" s="3" t="s">
        <v>1036</v>
      </c>
      <c r="B1005" s="4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3" t="s">
        <v>1037</v>
      </c>
      <c r="B1006" s="4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false" outlineLevel="0" collapsed="false">
      <c r="A1007" s="3" t="s">
        <v>1038</v>
      </c>
      <c r="B1007" s="4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3" t="s">
        <v>1039</v>
      </c>
      <c r="B1008" s="4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false" outlineLevel="0" collapsed="false">
      <c r="A1009" s="3" t="s">
        <v>1040</v>
      </c>
      <c r="B1009" s="4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3" t="s">
        <v>1041</v>
      </c>
      <c r="B1010" s="4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false" outlineLevel="0" collapsed="false">
      <c r="A1011" s="3" t="s">
        <v>1042</v>
      </c>
      <c r="B1011" s="4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3" t="s">
        <v>1043</v>
      </c>
      <c r="B1012" s="4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false" outlineLevel="0" collapsed="false">
      <c r="A1013" s="3" t="s">
        <v>1044</v>
      </c>
      <c r="B1013" s="4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3" t="s">
        <v>1045</v>
      </c>
      <c r="B1014" s="4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false" outlineLevel="0" collapsed="false">
      <c r="A1015" s="3" t="s">
        <v>1046</v>
      </c>
      <c r="B1015" s="4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3" t="s">
        <v>1047</v>
      </c>
      <c r="B1016" s="4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false" outlineLevel="0" collapsed="false">
      <c r="A1017" s="3" t="s">
        <v>1048</v>
      </c>
      <c r="B1017" s="4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3" t="s">
        <v>1049</v>
      </c>
      <c r="B1018" s="4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false" outlineLevel="0" collapsed="false">
      <c r="A1019" s="3" t="s">
        <v>1050</v>
      </c>
      <c r="B1019" s="4" t="n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3" t="s">
        <v>1051</v>
      </c>
      <c r="B1020" s="4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false" outlineLevel="0" collapsed="false">
      <c r="A1021" s="3" t="s">
        <v>1052</v>
      </c>
      <c r="B1021" s="4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3" t="s">
        <v>1053</v>
      </c>
      <c r="B1022" s="4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false" outlineLevel="0" collapsed="false">
      <c r="A1023" s="3" t="s">
        <v>1054</v>
      </c>
      <c r="B1023" s="4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3" t="s">
        <v>1055</v>
      </c>
      <c r="B1024" s="4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false" outlineLevel="0" collapsed="false">
      <c r="A1025" s="3" t="s">
        <v>1056</v>
      </c>
      <c r="B1025" s="4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3" t="s">
        <v>1057</v>
      </c>
      <c r="B1026" s="4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false" outlineLevel="0" collapsed="false">
      <c r="A1027" s="3" t="s">
        <v>1058</v>
      </c>
      <c r="B1027" s="4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3" t="s">
        <v>1059</v>
      </c>
      <c r="B1028" s="4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false" outlineLevel="0" collapsed="false">
      <c r="A1029" s="3" t="s">
        <v>1060</v>
      </c>
      <c r="B1029" s="4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3" t="s">
        <v>1061</v>
      </c>
      <c r="B1030" s="4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false" outlineLevel="0" collapsed="false">
      <c r="A1031" s="3" t="s">
        <v>1062</v>
      </c>
      <c r="B1031" s="4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3" t="s">
        <v>1063</v>
      </c>
      <c r="B1032" s="4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false" outlineLevel="0" collapsed="false">
      <c r="A1033" s="3" t="s">
        <v>1064</v>
      </c>
      <c r="B1033" s="4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3" t="s">
        <v>1065</v>
      </c>
      <c r="B1034" s="4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false" outlineLevel="0" collapsed="false">
      <c r="A1035" s="3" t="s">
        <v>1066</v>
      </c>
      <c r="B1035" s="4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3" t="s">
        <v>1067</v>
      </c>
      <c r="B1036" s="4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false" outlineLevel="0" collapsed="false">
      <c r="A1037" s="3" t="s">
        <v>1068</v>
      </c>
      <c r="B1037" s="4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3" t="s">
        <v>1069</v>
      </c>
      <c r="B1038" s="4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false" outlineLevel="0" collapsed="false">
      <c r="A1039" s="3" t="s">
        <v>1070</v>
      </c>
      <c r="B1039" s="4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3" t="s">
        <v>1071</v>
      </c>
      <c r="B1040" s="4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false" outlineLevel="0" collapsed="false">
      <c r="A1041" s="3" t="s">
        <v>1072</v>
      </c>
      <c r="B1041" s="4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3" t="s">
        <v>1073</v>
      </c>
      <c r="B1042" s="4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false" outlineLevel="0" collapsed="false">
      <c r="A1043" s="3" t="s">
        <v>1074</v>
      </c>
      <c r="B1043" s="4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3" t="s">
        <v>1075</v>
      </c>
      <c r="B1044" s="4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false" outlineLevel="0" collapsed="false">
      <c r="A1045" s="3" t="s">
        <v>1076</v>
      </c>
      <c r="B1045" s="4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3" t="s">
        <v>1077</v>
      </c>
      <c r="B1046" s="4" t="n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false" outlineLevel="0" collapsed="false">
      <c r="A1047" s="3" t="s">
        <v>1078</v>
      </c>
      <c r="B1047" s="4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3" t="s">
        <v>1079</v>
      </c>
      <c r="B1048" s="4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false" outlineLevel="0" collapsed="false">
      <c r="A1049" s="3" t="s">
        <v>1080</v>
      </c>
      <c r="B1049" s="4" t="n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3" t="s">
        <v>1081</v>
      </c>
      <c r="B1050" s="4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false" outlineLevel="0" collapsed="false">
      <c r="A1051" s="3" t="s">
        <v>1082</v>
      </c>
      <c r="B1051" s="4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3" t="s">
        <v>1083</v>
      </c>
      <c r="B1052" s="4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false" outlineLevel="0" collapsed="false">
      <c r="A1053" s="3" t="s">
        <v>1084</v>
      </c>
      <c r="B1053" s="4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3" t="s">
        <v>1085</v>
      </c>
      <c r="B1054" s="4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false" outlineLevel="0" collapsed="false">
      <c r="A1055" s="3" t="s">
        <v>1086</v>
      </c>
      <c r="B1055" s="4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3" t="s">
        <v>1087</v>
      </c>
      <c r="B1056" s="4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false" outlineLevel="0" collapsed="false">
      <c r="A1057" s="3" t="s">
        <v>1088</v>
      </c>
      <c r="B1057" s="4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3" t="s">
        <v>1089</v>
      </c>
      <c r="B1058" s="4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false" outlineLevel="0" collapsed="false">
      <c r="A1059" s="3" t="s">
        <v>1090</v>
      </c>
      <c r="B1059" s="4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3" t="s">
        <v>1091</v>
      </c>
      <c r="B1060" s="4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false" outlineLevel="0" collapsed="false">
      <c r="A1061" s="3" t="s">
        <v>1092</v>
      </c>
      <c r="B1061" s="4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3" t="s">
        <v>1093</v>
      </c>
      <c r="B1062" s="4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false" outlineLevel="0" collapsed="false">
      <c r="A1063" s="3" t="s">
        <v>1094</v>
      </c>
      <c r="B1063" s="4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3" t="s">
        <v>1095</v>
      </c>
      <c r="B1064" s="4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false" outlineLevel="0" collapsed="false">
      <c r="A1065" s="3" t="s">
        <v>1096</v>
      </c>
      <c r="B1065" s="4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3" t="s">
        <v>1097</v>
      </c>
      <c r="B1066" s="4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false" outlineLevel="0" collapsed="false">
      <c r="A1067" s="3" t="s">
        <v>1098</v>
      </c>
      <c r="B1067" s="4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3" t="s">
        <v>1099</v>
      </c>
      <c r="B1068" s="4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false" outlineLevel="0" collapsed="false">
      <c r="A1069" s="3" t="s">
        <v>1100</v>
      </c>
      <c r="B1069" s="4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3" t="s">
        <v>1101</v>
      </c>
      <c r="B1070" s="4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false" outlineLevel="0" collapsed="false">
      <c r="A1071" s="3" t="s">
        <v>1102</v>
      </c>
      <c r="B1071" s="4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3" t="s">
        <v>1103</v>
      </c>
      <c r="B1072" s="4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false" outlineLevel="0" collapsed="false">
      <c r="A1073" s="3" t="s">
        <v>1104</v>
      </c>
      <c r="B1073" s="4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3" t="s">
        <v>1105</v>
      </c>
      <c r="B1074" s="4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false" outlineLevel="0" collapsed="false">
      <c r="A1075" s="3" t="s">
        <v>1106</v>
      </c>
      <c r="B1075" s="4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3" t="s">
        <v>1107</v>
      </c>
      <c r="B1076" s="4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false" outlineLevel="0" collapsed="false">
      <c r="A1077" s="3" t="s">
        <v>1108</v>
      </c>
      <c r="B1077" s="4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3" t="s">
        <v>1109</v>
      </c>
      <c r="B1078" s="4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false" outlineLevel="0" collapsed="false">
      <c r="A1079" s="3" t="s">
        <v>1110</v>
      </c>
      <c r="B1079" s="4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3" t="s">
        <v>1111</v>
      </c>
      <c r="B1080" s="4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false" outlineLevel="0" collapsed="false">
      <c r="A1081" s="3" t="s">
        <v>1112</v>
      </c>
      <c r="B1081" s="4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3" t="s">
        <v>1113</v>
      </c>
      <c r="B1082" s="4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false" outlineLevel="0" collapsed="false">
      <c r="A1083" s="3" t="s">
        <v>1114</v>
      </c>
      <c r="B1083" s="4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3" t="s">
        <v>1115</v>
      </c>
      <c r="B1084" s="4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false" outlineLevel="0" collapsed="false">
      <c r="A1085" s="3" t="s">
        <v>1116</v>
      </c>
      <c r="B1085" s="4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3" t="s">
        <v>1117</v>
      </c>
      <c r="B1086" s="4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false" outlineLevel="0" collapsed="false">
      <c r="A1087" s="3" t="s">
        <v>1118</v>
      </c>
      <c r="B1087" s="4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3" t="s">
        <v>1119</v>
      </c>
      <c r="B1088" s="4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false" outlineLevel="0" collapsed="false">
      <c r="A1089" s="3" t="s">
        <v>1120</v>
      </c>
      <c r="B1089" s="4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3" t="s">
        <v>1121</v>
      </c>
      <c r="B1090" s="4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false" outlineLevel="0" collapsed="false">
      <c r="A1091" s="3" t="s">
        <v>1122</v>
      </c>
      <c r="B1091" s="4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3" t="s">
        <v>1123</v>
      </c>
      <c r="B1092" s="4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false" outlineLevel="0" collapsed="false">
      <c r="A1093" s="3" t="s">
        <v>1124</v>
      </c>
      <c r="B1093" s="4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3" t="s">
        <v>1125</v>
      </c>
      <c r="B1094" s="4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false" outlineLevel="0" collapsed="false">
      <c r="A1095" s="3" t="s">
        <v>1126</v>
      </c>
      <c r="B1095" s="4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3" t="s">
        <v>1127</v>
      </c>
      <c r="B1096" s="4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false" outlineLevel="0" collapsed="false">
      <c r="A1097" s="3" t="s">
        <v>1128</v>
      </c>
      <c r="B1097" s="4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3" t="s">
        <v>1129</v>
      </c>
      <c r="B1098" s="4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false" outlineLevel="0" collapsed="false">
      <c r="A1099" s="3" t="s">
        <v>1130</v>
      </c>
      <c r="B1099" s="4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3" t="s">
        <v>1131</v>
      </c>
      <c r="B1100" s="4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false" outlineLevel="0" collapsed="false">
      <c r="A1101" s="3" t="s">
        <v>1132</v>
      </c>
      <c r="B1101" s="4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3" t="s">
        <v>1133</v>
      </c>
      <c r="B1102" s="4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false" outlineLevel="0" collapsed="false">
      <c r="A1103" s="3" t="s">
        <v>1134</v>
      </c>
      <c r="B1103" s="4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3" t="s">
        <v>1135</v>
      </c>
      <c r="B1104" s="4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false" outlineLevel="0" collapsed="false">
      <c r="A1105" s="3" t="s">
        <v>1136</v>
      </c>
      <c r="B1105" s="4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3" t="s">
        <v>1137</v>
      </c>
      <c r="B1106" s="4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false" outlineLevel="0" collapsed="false">
      <c r="A1107" s="3" t="s">
        <v>1138</v>
      </c>
      <c r="B1107" s="4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3" t="s">
        <v>1139</v>
      </c>
      <c r="B1108" s="4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false" outlineLevel="0" collapsed="false">
      <c r="A1109" s="3" t="s">
        <v>1140</v>
      </c>
      <c r="B1109" s="4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3" t="s">
        <v>1141</v>
      </c>
      <c r="B1110" s="4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false" outlineLevel="0" collapsed="false">
      <c r="A1111" s="3" t="s">
        <v>1142</v>
      </c>
      <c r="B1111" s="4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3" t="s">
        <v>1143</v>
      </c>
      <c r="B1112" s="4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false" outlineLevel="0" collapsed="false">
      <c r="A1113" s="3" t="s">
        <v>1144</v>
      </c>
      <c r="B1113" s="4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3" t="s">
        <v>1145</v>
      </c>
      <c r="B1114" s="4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false" outlineLevel="0" collapsed="false">
      <c r="A1115" s="3" t="s">
        <v>1146</v>
      </c>
      <c r="B1115" s="4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3" t="s">
        <v>1147</v>
      </c>
      <c r="B1116" s="4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false" outlineLevel="0" collapsed="false">
      <c r="A1117" s="3" t="s">
        <v>1148</v>
      </c>
      <c r="B1117" s="4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3" t="s">
        <v>1149</v>
      </c>
      <c r="B1118" s="4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false" outlineLevel="0" collapsed="false">
      <c r="A1119" s="3" t="s">
        <v>1150</v>
      </c>
      <c r="B1119" s="4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3" t="s">
        <v>1151</v>
      </c>
      <c r="B1120" s="4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false" outlineLevel="0" collapsed="false">
      <c r="A1121" s="3" t="s">
        <v>1152</v>
      </c>
      <c r="B1121" s="4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3" t="s">
        <v>1153</v>
      </c>
      <c r="B1122" s="4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false" outlineLevel="0" collapsed="false">
      <c r="A1123" s="3" t="s">
        <v>1154</v>
      </c>
      <c r="B1123" s="4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3" t="s">
        <v>1155</v>
      </c>
      <c r="B1124" s="4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false" outlineLevel="0" collapsed="false">
      <c r="A1125" s="3" t="s">
        <v>1156</v>
      </c>
      <c r="B1125" s="4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3" t="s">
        <v>1157</v>
      </c>
      <c r="B1126" s="4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false" outlineLevel="0" collapsed="false">
      <c r="A1127" s="3" t="s">
        <v>1158</v>
      </c>
      <c r="B1127" s="4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3" t="s">
        <v>1159</v>
      </c>
      <c r="B1128" s="4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false" outlineLevel="0" collapsed="false">
      <c r="A1129" s="3" t="s">
        <v>1160</v>
      </c>
      <c r="B1129" s="4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3" t="s">
        <v>1161</v>
      </c>
      <c r="B1130" s="4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false" outlineLevel="0" collapsed="false">
      <c r="A1131" s="3" t="s">
        <v>1162</v>
      </c>
      <c r="B1131" s="4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3" t="s">
        <v>1163</v>
      </c>
      <c r="B1132" s="4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false" outlineLevel="0" collapsed="false">
      <c r="A1133" s="3" t="s">
        <v>1164</v>
      </c>
      <c r="B1133" s="4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3" t="s">
        <v>1165</v>
      </c>
      <c r="B1134" s="4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false" outlineLevel="0" collapsed="false">
      <c r="A1135" s="3" t="s">
        <v>1166</v>
      </c>
      <c r="B1135" s="4" t="n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3" t="s">
        <v>1167</v>
      </c>
      <c r="B1136" s="4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false" outlineLevel="0" collapsed="false">
      <c r="A1137" s="3" t="s">
        <v>1168</v>
      </c>
      <c r="B1137" s="4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3" t="s">
        <v>1169</v>
      </c>
      <c r="B1138" s="4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false" outlineLevel="0" collapsed="false">
      <c r="A1139" s="3" t="s">
        <v>1170</v>
      </c>
      <c r="B1139" s="4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3" t="s">
        <v>1171</v>
      </c>
      <c r="B1140" s="4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false" outlineLevel="0" collapsed="false">
      <c r="A1141" s="3" t="s">
        <v>1172</v>
      </c>
      <c r="B1141" s="4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3" t="s">
        <v>1173</v>
      </c>
      <c r="B1142" s="4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false" outlineLevel="0" collapsed="false">
      <c r="A1143" s="3" t="s">
        <v>1174</v>
      </c>
      <c r="B1143" s="4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3" t="s">
        <v>1175</v>
      </c>
      <c r="B1144" s="4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false" outlineLevel="0" collapsed="false">
      <c r="A1145" s="3" t="s">
        <v>1176</v>
      </c>
      <c r="B1145" s="4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3" t="s">
        <v>1177</v>
      </c>
      <c r="B1146" s="4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false" outlineLevel="0" collapsed="false">
      <c r="A1147" s="3" t="s">
        <v>1178</v>
      </c>
      <c r="B1147" s="4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3" t="s">
        <v>1179</v>
      </c>
      <c r="B1148" s="4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false" outlineLevel="0" collapsed="false">
      <c r="A1149" s="3" t="s">
        <v>1180</v>
      </c>
      <c r="B1149" s="4" t="n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3" t="s">
        <v>1181</v>
      </c>
      <c r="B1150" s="4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false" outlineLevel="0" collapsed="false">
      <c r="A1151" s="3" t="s">
        <v>1182</v>
      </c>
      <c r="B1151" s="4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3" t="s">
        <v>1183</v>
      </c>
      <c r="B1152" s="4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false" outlineLevel="0" collapsed="false">
      <c r="A1153" s="3" t="s">
        <v>1184</v>
      </c>
      <c r="B1153" s="4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3" t="s">
        <v>1185</v>
      </c>
      <c r="B1154" s="4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false" outlineLevel="0" collapsed="false">
      <c r="A1155" s="3" t="s">
        <v>1186</v>
      </c>
      <c r="B1155" s="4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3" t="s">
        <v>1187</v>
      </c>
      <c r="B1156" s="4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false" outlineLevel="0" collapsed="false">
      <c r="A1157" s="3" t="s">
        <v>1188</v>
      </c>
      <c r="B1157" s="4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3" t="s">
        <v>1189</v>
      </c>
      <c r="B1158" s="4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false" outlineLevel="0" collapsed="false">
      <c r="A1159" s="3" t="s">
        <v>1190</v>
      </c>
      <c r="B1159" s="4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3" t="s">
        <v>1191</v>
      </c>
      <c r="B1160" s="4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false" outlineLevel="0" collapsed="false">
      <c r="A1161" s="3" t="s">
        <v>1192</v>
      </c>
      <c r="B1161" s="4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3" t="s">
        <v>1193</v>
      </c>
      <c r="B1162" s="4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false" outlineLevel="0" collapsed="false">
      <c r="A1163" s="3" t="s">
        <v>1194</v>
      </c>
      <c r="B1163" s="4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3" t="s">
        <v>1195</v>
      </c>
      <c r="B1164" s="4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false" outlineLevel="0" collapsed="false">
      <c r="A1165" s="3" t="s">
        <v>1196</v>
      </c>
      <c r="B1165" s="4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3" t="s">
        <v>1197</v>
      </c>
      <c r="B1166" s="4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false" outlineLevel="0" collapsed="false">
      <c r="A1167" s="3" t="s">
        <v>1198</v>
      </c>
      <c r="B1167" s="4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3" t="s">
        <v>1199</v>
      </c>
      <c r="B1168" s="4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false" outlineLevel="0" collapsed="false">
      <c r="A1169" s="3" t="s">
        <v>1200</v>
      </c>
      <c r="B1169" s="4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3" t="s">
        <v>1201</v>
      </c>
      <c r="B1170" s="4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false" outlineLevel="0" collapsed="false">
      <c r="A1171" s="3" t="s">
        <v>1202</v>
      </c>
      <c r="B1171" s="4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3" t="s">
        <v>1203</v>
      </c>
      <c r="B1172" s="4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false" outlineLevel="0" collapsed="false">
      <c r="A1173" s="3" t="s">
        <v>1204</v>
      </c>
      <c r="B1173" s="4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3" t="s">
        <v>1205</v>
      </c>
      <c r="B1174" s="4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false" outlineLevel="0" collapsed="false">
      <c r="A1175" s="3" t="s">
        <v>1206</v>
      </c>
      <c r="B1175" s="4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3" t="s">
        <v>1207</v>
      </c>
      <c r="B1176" s="4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false" outlineLevel="0" collapsed="false">
      <c r="A1177" s="3" t="s">
        <v>1208</v>
      </c>
      <c r="B1177" s="4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3" t="s">
        <v>1209</v>
      </c>
      <c r="B1178" s="4" t="n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false" outlineLevel="0" collapsed="false">
      <c r="A1179" s="3" t="s">
        <v>1210</v>
      </c>
      <c r="B1179" s="4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3" t="s">
        <v>1211</v>
      </c>
      <c r="B1180" s="4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false" outlineLevel="0" collapsed="false">
      <c r="A1181" s="3" t="s">
        <v>1212</v>
      </c>
      <c r="B1181" s="4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3" t="s">
        <v>1213</v>
      </c>
      <c r="B1182" s="4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false" outlineLevel="0" collapsed="false">
      <c r="A1183" s="3" t="s">
        <v>1214</v>
      </c>
      <c r="B1183" s="4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3" t="s">
        <v>1215</v>
      </c>
      <c r="B1184" s="4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false" outlineLevel="0" collapsed="false">
      <c r="A1185" s="3" t="s">
        <v>1216</v>
      </c>
      <c r="B1185" s="4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3" t="s">
        <v>1217</v>
      </c>
      <c r="B1186" s="4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false" outlineLevel="0" collapsed="false">
      <c r="A1187" s="3" t="s">
        <v>1218</v>
      </c>
      <c r="B1187" s="4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3" t="s">
        <v>1219</v>
      </c>
      <c r="B1188" s="4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false" outlineLevel="0" collapsed="false">
      <c r="A1189" s="3" t="s">
        <v>1220</v>
      </c>
      <c r="B1189" s="4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3" t="s">
        <v>1221</v>
      </c>
      <c r="B1190" s="4" t="n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false" outlineLevel="0" collapsed="false">
      <c r="A1191" s="3" t="s">
        <v>1222</v>
      </c>
      <c r="B1191" s="4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3" t="s">
        <v>1223</v>
      </c>
      <c r="B1192" s="4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false" outlineLevel="0" collapsed="false">
      <c r="A1193" s="3" t="s">
        <v>1224</v>
      </c>
      <c r="B1193" s="4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3" t="s">
        <v>1225</v>
      </c>
      <c r="B1194" s="4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false" outlineLevel="0" collapsed="false">
      <c r="A1195" s="3" t="s">
        <v>1226</v>
      </c>
      <c r="B1195" s="4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3" t="s">
        <v>1227</v>
      </c>
      <c r="B1196" s="4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false" outlineLevel="0" collapsed="false">
      <c r="A1197" s="3" t="s">
        <v>1228</v>
      </c>
      <c r="B1197" s="4" t="n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3" t="s">
        <v>1229</v>
      </c>
      <c r="B1198" s="4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false" outlineLevel="0" collapsed="false">
      <c r="A1199" s="3" t="s">
        <v>1230</v>
      </c>
      <c r="B1199" s="4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3" t="s">
        <v>1231</v>
      </c>
      <c r="B1200" s="4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false" outlineLevel="0" collapsed="false">
      <c r="A1201" s="3" t="s">
        <v>1232</v>
      </c>
      <c r="B1201" s="4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3" t="s">
        <v>1233</v>
      </c>
      <c r="B1202" s="4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false" outlineLevel="0" collapsed="false">
      <c r="A1203" s="3" t="s">
        <v>1234</v>
      </c>
      <c r="B1203" s="4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3" t="s">
        <v>1235</v>
      </c>
      <c r="B1204" s="4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false" outlineLevel="0" collapsed="false">
      <c r="A1205" s="3" t="s">
        <v>1236</v>
      </c>
      <c r="B1205" s="4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3" t="s">
        <v>1237</v>
      </c>
      <c r="B1206" s="4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false" outlineLevel="0" collapsed="false">
      <c r="A1207" s="3" t="s">
        <v>1238</v>
      </c>
      <c r="B1207" s="4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3" t="s">
        <v>1239</v>
      </c>
      <c r="B1208" s="4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false" outlineLevel="0" collapsed="false">
      <c r="A1209" s="3" t="s">
        <v>1240</v>
      </c>
      <c r="B1209" s="4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3" t="s">
        <v>1241</v>
      </c>
      <c r="B1210" s="4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false" outlineLevel="0" collapsed="false">
      <c r="A1211" s="3" t="s">
        <v>1242</v>
      </c>
      <c r="B1211" s="4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3" t="s">
        <v>1243</v>
      </c>
      <c r="B1212" s="4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false" outlineLevel="0" collapsed="false">
      <c r="A1213" s="3" t="s">
        <v>1244</v>
      </c>
      <c r="B1213" s="4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3" t="s">
        <v>1245</v>
      </c>
      <c r="B1214" s="4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false" outlineLevel="0" collapsed="false">
      <c r="A1215" s="3" t="s">
        <v>1246</v>
      </c>
      <c r="B1215" s="4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3" t="s">
        <v>1247</v>
      </c>
      <c r="B1216" s="4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false" outlineLevel="0" collapsed="false">
      <c r="A1217" s="3" t="s">
        <v>1248</v>
      </c>
      <c r="B1217" s="4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3" t="s">
        <v>1249</v>
      </c>
      <c r="B1218" s="4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false" outlineLevel="0" collapsed="false">
      <c r="A1219" s="3" t="s">
        <v>1250</v>
      </c>
      <c r="B1219" s="4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3" t="s">
        <v>1251</v>
      </c>
      <c r="B1220" s="4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false" outlineLevel="0" collapsed="false">
      <c r="A1221" s="3" t="s">
        <v>1252</v>
      </c>
      <c r="B1221" s="4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3" t="s">
        <v>1253</v>
      </c>
      <c r="B1222" s="4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false" outlineLevel="0" collapsed="false">
      <c r="A1223" s="3" t="s">
        <v>1254</v>
      </c>
      <c r="B1223" s="4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3" t="s">
        <v>1255</v>
      </c>
      <c r="B1224" s="4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false" outlineLevel="0" collapsed="false">
      <c r="A1225" s="3" t="s">
        <v>1256</v>
      </c>
      <c r="B1225" s="4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3" t="s">
        <v>1257</v>
      </c>
      <c r="B1226" s="4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false" outlineLevel="0" collapsed="false">
      <c r="A1227" s="3" t="s">
        <v>1258</v>
      </c>
      <c r="B1227" s="4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3" t="s">
        <v>1259</v>
      </c>
      <c r="B1228" s="4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false" outlineLevel="0" collapsed="false">
      <c r="A1229" s="3" t="s">
        <v>1260</v>
      </c>
      <c r="B1229" s="4" t="n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3" t="s">
        <v>1261</v>
      </c>
      <c r="B1230" s="4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false" outlineLevel="0" collapsed="false">
      <c r="A1231" s="3" t="s">
        <v>1262</v>
      </c>
      <c r="B1231" s="4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3" t="s">
        <v>1263</v>
      </c>
      <c r="B1232" s="4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false" outlineLevel="0" collapsed="false">
      <c r="A1233" s="3" t="s">
        <v>1264</v>
      </c>
      <c r="B1233" s="4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3" t="s">
        <v>1265</v>
      </c>
      <c r="B1234" s="4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false" outlineLevel="0" collapsed="false">
      <c r="A1235" s="3" t="s">
        <v>1266</v>
      </c>
      <c r="B1235" s="4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3" t="s">
        <v>1267</v>
      </c>
      <c r="B1236" s="4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false" outlineLevel="0" collapsed="false">
      <c r="A1237" s="3" t="s">
        <v>1268</v>
      </c>
      <c r="B1237" s="4" t="n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3" t="s">
        <v>1269</v>
      </c>
      <c r="B1238" s="4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false" outlineLevel="0" collapsed="false">
      <c r="A1239" s="3" t="s">
        <v>1270</v>
      </c>
      <c r="B1239" s="4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3" t="s">
        <v>1271</v>
      </c>
      <c r="B1240" s="4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false" outlineLevel="0" collapsed="false">
      <c r="A1241" s="3" t="s">
        <v>1272</v>
      </c>
      <c r="B1241" s="4" t="n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3" t="s">
        <v>1273</v>
      </c>
      <c r="B1242" s="4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false" outlineLevel="0" collapsed="false">
      <c r="A1243" s="3" t="s">
        <v>1274</v>
      </c>
      <c r="B1243" s="4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3" t="s">
        <v>1275</v>
      </c>
      <c r="B1244" s="4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false" outlineLevel="0" collapsed="false">
      <c r="A1245" s="3" t="s">
        <v>1276</v>
      </c>
      <c r="B1245" s="4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3" t="s">
        <v>1277</v>
      </c>
      <c r="B1246" s="4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false" outlineLevel="0" collapsed="false">
      <c r="A1247" s="3" t="s">
        <v>1278</v>
      </c>
      <c r="B1247" s="4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3" t="s">
        <v>1279</v>
      </c>
      <c r="B1248" s="4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false" outlineLevel="0" collapsed="false">
      <c r="A1249" s="3" t="s">
        <v>1280</v>
      </c>
      <c r="B1249" s="4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3" t="s">
        <v>1281</v>
      </c>
      <c r="B1250" s="4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false" outlineLevel="0" collapsed="false">
      <c r="A1251" s="3" t="s">
        <v>1282</v>
      </c>
      <c r="B1251" s="4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3" t="s">
        <v>1283</v>
      </c>
      <c r="B1252" s="4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false" outlineLevel="0" collapsed="false">
      <c r="A1253" s="3" t="s">
        <v>1284</v>
      </c>
      <c r="B1253" s="4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3" t="s">
        <v>1285</v>
      </c>
      <c r="B1254" s="4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false" outlineLevel="0" collapsed="false">
      <c r="A1255" s="3" t="s">
        <v>1286</v>
      </c>
      <c r="B1255" s="4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3" t="s">
        <v>1287</v>
      </c>
      <c r="B1256" s="4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false" outlineLevel="0" collapsed="false">
      <c r="A1257" s="3" t="s">
        <v>1288</v>
      </c>
      <c r="B1257" s="4" t="n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3" t="s">
        <v>1289</v>
      </c>
      <c r="B1258" s="4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false" outlineLevel="0" collapsed="false">
      <c r="A1259" s="3" t="s">
        <v>1290</v>
      </c>
      <c r="B1259" s="4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3" t="s">
        <v>1291</v>
      </c>
      <c r="B1260" s="4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false" outlineLevel="0" collapsed="false">
      <c r="A1261" s="3" t="s">
        <v>1292</v>
      </c>
      <c r="B1261" s="4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3" t="s">
        <v>1293</v>
      </c>
      <c r="B1262" s="4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false" outlineLevel="0" collapsed="false">
      <c r="A1263" s="3" t="s">
        <v>1294</v>
      </c>
      <c r="B1263" s="4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3" t="s">
        <v>1295</v>
      </c>
      <c r="B1264" s="4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false" outlineLevel="0" collapsed="false">
      <c r="A1265" s="3" t="s">
        <v>1296</v>
      </c>
      <c r="B1265" s="4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3" t="s">
        <v>1297</v>
      </c>
      <c r="B1266" s="4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false" outlineLevel="0" collapsed="false">
      <c r="A1267" s="3" t="s">
        <v>1298</v>
      </c>
      <c r="B1267" s="4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3" t="s">
        <v>1299</v>
      </c>
      <c r="B1268" s="4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false" outlineLevel="0" collapsed="false">
      <c r="A1269" s="3" t="s">
        <v>1300</v>
      </c>
      <c r="B1269" s="4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3" t="s">
        <v>1301</v>
      </c>
      <c r="B1270" s="4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false" outlineLevel="0" collapsed="false">
      <c r="A1271" s="3" t="s">
        <v>1302</v>
      </c>
      <c r="B1271" s="4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3" t="s">
        <v>1303</v>
      </c>
      <c r="B1272" s="4" t="n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false" outlineLevel="0" collapsed="false">
      <c r="A1273" s="3" t="s">
        <v>1304</v>
      </c>
      <c r="B1273" s="4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3" t="s">
        <v>1305</v>
      </c>
      <c r="B1274" s="4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false" outlineLevel="0" collapsed="false">
      <c r="A1275" s="3" t="s">
        <v>1306</v>
      </c>
      <c r="B1275" s="4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3" t="s">
        <v>1307</v>
      </c>
      <c r="B1276" s="4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false" outlineLevel="0" collapsed="false">
      <c r="A1277" s="3" t="s">
        <v>1308</v>
      </c>
      <c r="B1277" s="4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3" t="s">
        <v>1309</v>
      </c>
      <c r="B1278" s="4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false" outlineLevel="0" collapsed="false">
      <c r="A1279" s="3" t="s">
        <v>1310</v>
      </c>
      <c r="B1279" s="4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3" t="s">
        <v>1311</v>
      </c>
      <c r="B1280" s="4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false" outlineLevel="0" collapsed="false">
      <c r="A1281" s="3" t="s">
        <v>1312</v>
      </c>
      <c r="B1281" s="4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3" t="s">
        <v>1313</v>
      </c>
      <c r="B1282" s="4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false" outlineLevel="0" collapsed="false">
      <c r="A1283" s="3" t="s">
        <v>1314</v>
      </c>
      <c r="B1283" s="4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3" t="s">
        <v>1315</v>
      </c>
      <c r="B1284" s="4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false" outlineLevel="0" collapsed="false">
      <c r="A1285" s="3" t="s">
        <v>1316</v>
      </c>
      <c r="B1285" s="4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3" t="s">
        <v>1317</v>
      </c>
      <c r="B1286" s="4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false" outlineLevel="0" collapsed="false">
      <c r="A1287" s="3" t="s">
        <v>1318</v>
      </c>
      <c r="B1287" s="4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3" t="s">
        <v>1319</v>
      </c>
      <c r="B1288" s="4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false" outlineLevel="0" collapsed="false">
      <c r="A1289" s="3" t="s">
        <v>1320</v>
      </c>
      <c r="B1289" s="4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3" t="s">
        <v>1321</v>
      </c>
      <c r="B1290" s="4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false" outlineLevel="0" collapsed="false">
      <c r="A1291" s="3" t="s">
        <v>1322</v>
      </c>
      <c r="B1291" s="4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3" t="s">
        <v>1323</v>
      </c>
      <c r="B1292" s="4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false" outlineLevel="0" collapsed="false">
      <c r="A1293" s="3" t="s">
        <v>1324</v>
      </c>
      <c r="B1293" s="4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3" t="s">
        <v>1325</v>
      </c>
      <c r="B1294" s="4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false" outlineLevel="0" collapsed="false">
      <c r="A1295" s="3" t="s">
        <v>1326</v>
      </c>
      <c r="B1295" s="4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3" t="s">
        <v>1327</v>
      </c>
      <c r="B1296" s="4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false" outlineLevel="0" collapsed="false">
      <c r="A1297" s="3" t="s">
        <v>1328</v>
      </c>
      <c r="B1297" s="4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3" t="s">
        <v>1329</v>
      </c>
      <c r="B1298" s="4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false" outlineLevel="0" collapsed="false">
      <c r="A1299" s="3" t="s">
        <v>1330</v>
      </c>
      <c r="B1299" s="4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3" t="s">
        <v>1331</v>
      </c>
      <c r="B1300" s="4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false" outlineLevel="0" collapsed="false">
      <c r="A1301" s="3" t="s">
        <v>1332</v>
      </c>
      <c r="B1301" s="4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3" t="s">
        <v>1333</v>
      </c>
      <c r="B1302" s="4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false" outlineLevel="0" collapsed="false">
      <c r="A1303" s="3" t="s">
        <v>1334</v>
      </c>
      <c r="B1303" s="4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3" t="s">
        <v>1335</v>
      </c>
      <c r="B1304" s="4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false" outlineLevel="0" collapsed="false">
      <c r="A1305" s="3" t="s">
        <v>1336</v>
      </c>
      <c r="B1305" s="4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3" t="s">
        <v>1337</v>
      </c>
      <c r="B1306" s="4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false" outlineLevel="0" collapsed="false">
      <c r="A1307" s="3" t="s">
        <v>1338</v>
      </c>
      <c r="B1307" s="4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3" t="s">
        <v>1339</v>
      </c>
      <c r="B1308" s="4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false" outlineLevel="0" collapsed="false">
      <c r="A1309" s="3" t="s">
        <v>1340</v>
      </c>
      <c r="B1309" s="4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3" t="s">
        <v>1341</v>
      </c>
      <c r="B1310" s="4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false" outlineLevel="0" collapsed="false">
      <c r="A1311" s="3" t="s">
        <v>1342</v>
      </c>
      <c r="B1311" s="4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3" t="s">
        <v>1343</v>
      </c>
      <c r="B1312" s="4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false" outlineLevel="0" collapsed="false">
      <c r="A1313" s="3" t="s">
        <v>1344</v>
      </c>
      <c r="B1313" s="4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3" t="s">
        <v>1345</v>
      </c>
      <c r="B1314" s="4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false" outlineLevel="0" collapsed="false">
      <c r="A1315" s="3" t="s">
        <v>1346</v>
      </c>
      <c r="B1315" s="4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3" t="s">
        <v>1347</v>
      </c>
      <c r="B1316" s="4" t="n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false" outlineLevel="0" collapsed="false">
      <c r="A1317" s="3" t="s">
        <v>1348</v>
      </c>
      <c r="B1317" s="4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false" outlineLevel="0" collapsed="false">
      <c r="A1318" s="3" t="s">
        <v>1349</v>
      </c>
      <c r="B1318" s="4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false" outlineLevel="0" collapsed="false">
      <c r="A1319" s="3" t="s">
        <v>1350</v>
      </c>
      <c r="B1319" s="4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3" t="s">
        <v>1351</v>
      </c>
      <c r="B1320" s="4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false" outlineLevel="0" collapsed="false">
      <c r="A1321" s="3" t="s">
        <v>1352</v>
      </c>
      <c r="B1321" s="4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3" t="s">
        <v>1353</v>
      </c>
      <c r="B1322" s="4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false" outlineLevel="0" collapsed="false">
      <c r="A1323" s="3" t="s">
        <v>1354</v>
      </c>
      <c r="B1323" s="4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3" t="s">
        <v>1355</v>
      </c>
      <c r="B1324" s="4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false" outlineLevel="0" collapsed="false">
      <c r="A1325" s="3" t="s">
        <v>1356</v>
      </c>
      <c r="B1325" s="4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3" t="s">
        <v>1357</v>
      </c>
      <c r="B1326" s="4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false" outlineLevel="0" collapsed="false">
      <c r="A1327" s="3" t="s">
        <v>1358</v>
      </c>
      <c r="B1327" s="4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3" t="s">
        <v>1359</v>
      </c>
      <c r="B1328" s="4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false" outlineLevel="0" collapsed="false">
      <c r="A1329" s="3" t="s">
        <v>1360</v>
      </c>
      <c r="B1329" s="4" t="n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3" t="s">
        <v>1361</v>
      </c>
      <c r="B1330" s="4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false" outlineLevel="0" collapsed="false">
      <c r="A1331" s="3" t="s">
        <v>1362</v>
      </c>
      <c r="B1331" s="4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3" t="s">
        <v>1363</v>
      </c>
      <c r="B1332" s="4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false" outlineLevel="0" collapsed="false">
      <c r="A1333" s="3" t="s">
        <v>1364</v>
      </c>
      <c r="B1333" s="4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3" t="s">
        <v>1365</v>
      </c>
      <c r="B1334" s="4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false" outlineLevel="0" collapsed="false">
      <c r="A1335" s="3" t="s">
        <v>1366</v>
      </c>
      <c r="B1335" s="4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3" t="s">
        <v>1367</v>
      </c>
      <c r="B1336" s="4" t="n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false" outlineLevel="0" collapsed="false">
      <c r="A1337" s="3" t="s">
        <v>1368</v>
      </c>
      <c r="B1337" s="4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3" t="s">
        <v>1369</v>
      </c>
      <c r="B1338" s="4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false" outlineLevel="0" collapsed="false">
      <c r="A1339" s="3" t="s">
        <v>1370</v>
      </c>
      <c r="B1339" s="4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3" t="s">
        <v>1371</v>
      </c>
      <c r="B1340" s="4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false" outlineLevel="0" collapsed="false">
      <c r="A1341" s="3" t="s">
        <v>1372</v>
      </c>
      <c r="B1341" s="4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3" t="s">
        <v>1373</v>
      </c>
      <c r="B1342" s="4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false" outlineLevel="0" collapsed="false">
      <c r="A1343" s="3" t="s">
        <v>1374</v>
      </c>
      <c r="B1343" s="4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3" t="s">
        <v>1375</v>
      </c>
      <c r="B1344" s="4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false" outlineLevel="0" collapsed="false">
      <c r="A1345" s="3" t="s">
        <v>1376</v>
      </c>
      <c r="B1345" s="4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3" t="s">
        <v>1377</v>
      </c>
      <c r="B1346" s="4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false" outlineLevel="0" collapsed="false">
      <c r="A1347" s="3" t="s">
        <v>1378</v>
      </c>
      <c r="B1347" s="4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3" t="s">
        <v>1379</v>
      </c>
      <c r="B1348" s="4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false" outlineLevel="0" collapsed="false">
      <c r="A1349" s="3" t="s">
        <v>1380</v>
      </c>
      <c r="B1349" s="4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3" t="s">
        <v>1381</v>
      </c>
      <c r="B1350" s="4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false" outlineLevel="0" collapsed="false">
      <c r="A1351" s="3" t="s">
        <v>1382</v>
      </c>
      <c r="B1351" s="4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3" t="s">
        <v>1383</v>
      </c>
      <c r="B1352" s="4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false" outlineLevel="0" collapsed="false">
      <c r="A1353" s="3" t="s">
        <v>1384</v>
      </c>
      <c r="B1353" s="4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3" t="s">
        <v>1385</v>
      </c>
      <c r="B1354" s="4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false" outlineLevel="0" collapsed="false">
      <c r="A1355" s="3" t="s">
        <v>1386</v>
      </c>
      <c r="B1355" s="4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3" t="s">
        <v>1387</v>
      </c>
      <c r="B1356" s="4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false" outlineLevel="0" collapsed="false">
      <c r="A1357" s="3" t="s">
        <v>1388</v>
      </c>
      <c r="B1357" s="4" t="n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3" t="s">
        <v>1389</v>
      </c>
      <c r="B1358" s="4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false" outlineLevel="0" collapsed="false">
      <c r="A1359" s="3" t="s">
        <v>1390</v>
      </c>
      <c r="B1359" s="4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3" t="s">
        <v>1391</v>
      </c>
      <c r="B1360" s="4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false" outlineLevel="0" collapsed="false">
      <c r="A1361" s="3" t="s">
        <v>1392</v>
      </c>
      <c r="B1361" s="4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3" t="s">
        <v>1393</v>
      </c>
      <c r="B1362" s="4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false" outlineLevel="0" collapsed="false">
      <c r="A1363" s="3" t="s">
        <v>1394</v>
      </c>
      <c r="B1363" s="4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3" t="s">
        <v>1395</v>
      </c>
      <c r="B1364" s="4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false" outlineLevel="0" collapsed="false">
      <c r="A1365" s="3" t="s">
        <v>1396</v>
      </c>
      <c r="B1365" s="4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3" t="s">
        <v>1397</v>
      </c>
      <c r="B1366" s="4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false" outlineLevel="0" collapsed="false">
      <c r="A1367" s="3" t="s">
        <v>1398</v>
      </c>
      <c r="B1367" s="4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3" t="s">
        <v>1399</v>
      </c>
      <c r="B1368" s="4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false" outlineLevel="0" collapsed="false">
      <c r="A1369" s="3" t="s">
        <v>1400</v>
      </c>
      <c r="B1369" s="4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3" t="s">
        <v>1401</v>
      </c>
      <c r="B1370" s="4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false" outlineLevel="0" collapsed="false">
      <c r="A1371" s="3" t="s">
        <v>1402</v>
      </c>
      <c r="B1371" s="4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3" t="s">
        <v>1403</v>
      </c>
      <c r="B1372" s="4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false" outlineLevel="0" collapsed="false">
      <c r="A1373" s="3" t="s">
        <v>1404</v>
      </c>
      <c r="B1373" s="4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3" t="s">
        <v>1405</v>
      </c>
      <c r="B1374" s="4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false" outlineLevel="0" collapsed="false">
      <c r="A1375" s="3" t="s">
        <v>1406</v>
      </c>
      <c r="B1375" s="4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3" t="s">
        <v>1407</v>
      </c>
      <c r="B1376" s="4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false" outlineLevel="0" collapsed="false">
      <c r="A1377" s="3" t="s">
        <v>1408</v>
      </c>
      <c r="B1377" s="4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3" t="s">
        <v>1409</v>
      </c>
      <c r="B1378" s="4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false" outlineLevel="0" collapsed="false">
      <c r="A1379" s="3" t="s">
        <v>1410</v>
      </c>
      <c r="B1379" s="4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3" t="s">
        <v>1411</v>
      </c>
      <c r="B1380" s="4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false" outlineLevel="0" collapsed="false">
      <c r="A1381" s="3" t="s">
        <v>1412</v>
      </c>
      <c r="B1381" s="4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3" t="s">
        <v>1413</v>
      </c>
      <c r="B1382" s="4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false" outlineLevel="0" collapsed="false">
      <c r="A1383" s="3" t="s">
        <v>1414</v>
      </c>
      <c r="B1383" s="4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3" t="s">
        <v>1415</v>
      </c>
      <c r="B1384" s="4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false" outlineLevel="0" collapsed="false">
      <c r="A1385" s="3" t="s">
        <v>1416</v>
      </c>
      <c r="B1385" s="4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3" t="s">
        <v>1417</v>
      </c>
      <c r="B1386" s="4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false" outlineLevel="0" collapsed="false">
      <c r="A1387" s="3" t="s">
        <v>1418</v>
      </c>
      <c r="B1387" s="4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3" t="s">
        <v>1419</v>
      </c>
      <c r="B1388" s="4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false" outlineLevel="0" collapsed="false">
      <c r="A1389" s="3" t="s">
        <v>1420</v>
      </c>
      <c r="B1389" s="4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3" t="s">
        <v>1421</v>
      </c>
      <c r="B1390" s="4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false" outlineLevel="0" collapsed="false">
      <c r="A1391" s="3" t="s">
        <v>1422</v>
      </c>
      <c r="B1391" s="4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3" t="s">
        <v>1423</v>
      </c>
      <c r="B1392" s="4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false" outlineLevel="0" collapsed="false">
      <c r="A1393" s="3" t="s">
        <v>1424</v>
      </c>
      <c r="B1393" s="4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3" t="s">
        <v>1425</v>
      </c>
      <c r="B1394" s="4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false" outlineLevel="0" collapsed="false">
      <c r="A1395" s="3" t="s">
        <v>1426</v>
      </c>
      <c r="B1395" s="4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3" t="s">
        <v>1427</v>
      </c>
      <c r="B1396" s="4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false" outlineLevel="0" collapsed="false">
      <c r="A1397" s="3" t="s">
        <v>1428</v>
      </c>
      <c r="B1397" s="4" t="n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3" t="s">
        <v>1429</v>
      </c>
      <c r="B1398" s="4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false" outlineLevel="0" collapsed="false">
      <c r="A1399" s="3" t="s">
        <v>1430</v>
      </c>
      <c r="B1399" s="4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3" t="s">
        <v>1431</v>
      </c>
      <c r="B1400" s="4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false" outlineLevel="0" collapsed="false">
      <c r="A1401" s="3" t="s">
        <v>1432</v>
      </c>
      <c r="B1401" s="4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  <row r="1402" customFormat="false" ht="15" hidden="false" customHeight="false" outlineLevel="0" collapsed="false">
      <c r="A1402" s="3" t="s">
        <v>949</v>
      </c>
      <c r="B1402" s="4" t="n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 t="n">
        <v>1</v>
      </c>
      <c r="I1402" s="3" t="n">
        <v>1</v>
      </c>
      <c r="J1402" s="3" t="n">
        <v>1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/>
      <c r="P1402" s="3" t="n">
        <v>70.6</v>
      </c>
    </row>
    <row r="1403" customFormat="false" ht="15" hidden="false" customHeight="false" outlineLevel="0" collapsed="false">
      <c r="A1403" s="3" t="s">
        <v>464</v>
      </c>
      <c r="B1403" s="4" t="n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 t="n">
        <v>1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/>
      <c r="P1403" s="3" t="n">
        <v>60.9</v>
      </c>
    </row>
    <row r="1404" customFormat="false" ht="15" hidden="false" customHeight="false" outlineLevel="0" collapsed="false">
      <c r="A1404" s="3" t="s">
        <v>1394</v>
      </c>
      <c r="B1404" s="4" t="n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 t="n">
        <v>1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/>
      <c r="P1404" s="3" t="n">
        <v>33.6</v>
      </c>
    </row>
    <row r="1405" customFormat="false" ht="15" hidden="false" customHeight="false" outlineLevel="0" collapsed="false">
      <c r="A1405" s="3" t="s">
        <v>127</v>
      </c>
      <c r="B1405" s="4" t="n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/>
      <c r="P1405" s="3" t="n">
        <v>68</v>
      </c>
    </row>
    <row r="1406" customFormat="false" ht="15" hidden="false" customHeight="false" outlineLevel="0" collapsed="false">
      <c r="A1406" s="3" t="s">
        <v>1242</v>
      </c>
      <c r="B1406" s="4" t="n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 t="n">
        <v>1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/>
      <c r="P1406" s="3" t="n">
        <v>62</v>
      </c>
    </row>
    <row r="1407" customFormat="false" ht="15" hidden="false" customHeight="false" outlineLevel="0" collapsed="false">
      <c r="A1407" s="3" t="s">
        <v>1264</v>
      </c>
      <c r="B1407" s="4" t="n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 t="n">
        <v>1</v>
      </c>
      <c r="I1407" s="3" t="n">
        <v>1</v>
      </c>
      <c r="J1407" s="3" t="n">
        <v>1</v>
      </c>
      <c r="K1407" s="3" t="n">
        <v>0</v>
      </c>
      <c r="L1407" s="3" t="n">
        <v>0</v>
      </c>
      <c r="M1407" s="3" t="n">
        <v>1</v>
      </c>
      <c r="N1407" s="3" t="n">
        <v>0</v>
      </c>
      <c r="O1407" s="3"/>
      <c r="P1407" s="3" t="n">
        <v>72.5</v>
      </c>
    </row>
    <row r="1408" customFormat="false" ht="15" hidden="false" customHeight="false" outlineLevel="0" collapsed="false">
      <c r="A1408" s="3" t="s">
        <v>1091</v>
      </c>
      <c r="B1408" s="4" t="n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 t="n">
        <v>1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/>
      <c r="P1408" s="3" t="n">
        <v>70.3</v>
      </c>
    </row>
    <row r="1409" customFormat="false" ht="15" hidden="false" customHeight="false" outlineLevel="0" collapsed="false">
      <c r="A1409" s="3" t="s">
        <v>572</v>
      </c>
      <c r="B1409" s="4" t="n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 t="n">
        <v>1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/>
      <c r="P1409" s="3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8" min="4" style="1" width="16"/>
  </cols>
  <sheetData>
    <row r="1" customFormat="false" ht="17.35" hidden="false" customHeight="false" outlineLevel="0" collapsed="false">
      <c r="A1" s="5" t="s">
        <v>1433</v>
      </c>
    </row>
    <row r="3" customFormat="false" ht="15" hidden="false" customHeight="false" outlineLevel="0" collapsed="false">
      <c r="A3" s="6" t="s">
        <v>1434</v>
      </c>
      <c r="B3" s="6"/>
      <c r="C3" s="6"/>
      <c r="D3" s="6"/>
      <c r="E3" s="6"/>
      <c r="F3" s="6"/>
    </row>
    <row r="5" customFormat="false" ht="15" hidden="false" customHeight="false" outlineLevel="0" collapsed="false">
      <c r="A5" s="7" t="s">
        <v>1435</v>
      </c>
      <c r="D5" s="8" t="n">
        <f aca="false">COUNTA(Raw_Data!A2:A1409)</f>
        <v>1408</v>
      </c>
    </row>
    <row r="6" customFormat="false" ht="15" hidden="false" customHeight="false" outlineLevel="0" collapsed="false">
      <c r="A6" s="7" t="s">
        <v>1436</v>
      </c>
      <c r="D6" s="8" t="n">
        <f aca="false">COUNTIF(Raw_Data!C2:C1409,"Control")</f>
        <v>693</v>
      </c>
    </row>
    <row r="7" customFormat="false" ht="15" hidden="false" customHeight="false" outlineLevel="0" collapsed="false">
      <c r="A7" s="7" t="s">
        <v>1437</v>
      </c>
      <c r="D7" s="8" t="n">
        <f aca="false">COUNTIF(Raw_Data!C2:C1409,"Treatment")</f>
        <v>715</v>
      </c>
    </row>
    <row r="8" customFormat="false" ht="15" hidden="false" customHeight="false" outlineLevel="0" collapsed="false">
      <c r="A8" s="7" t="s">
        <v>1438</v>
      </c>
      <c r="D8" s="8" t="b">
        <f aca="false">D6+D7=D5</f>
        <v>1</v>
      </c>
      <c r="E8" s="9" t="s">
        <v>1439</v>
      </c>
      <c r="F8" s="9"/>
      <c r="G8" s="9"/>
      <c r="H8" s="9"/>
    </row>
    <row r="10" customFormat="false" ht="15" hidden="false" customHeight="false" outlineLevel="0" collapsed="false">
      <c r="A10" s="6" t="s">
        <v>1440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7" t="s">
        <v>1441</v>
      </c>
      <c r="D12" s="8" t="n">
        <f aca="false">COUNTBLANK(Raw_Data!E2:E1409)</f>
        <v>18</v>
      </c>
    </row>
    <row r="13" customFormat="false" ht="15" hidden="false" customHeight="false" outlineLevel="0" collapsed="false">
      <c r="A13" s="7" t="s">
        <v>1442</v>
      </c>
      <c r="D13" s="8" t="n">
        <f aca="false">COUNTBLANK(Raw_Data!F2:F1409)</f>
        <v>24</v>
      </c>
    </row>
    <row r="14" customFormat="false" ht="15" hidden="false" customHeight="false" outlineLevel="0" collapsed="false">
      <c r="A14" s="7" t="s">
        <v>1443</v>
      </c>
      <c r="D14" s="8" t="n">
        <f aca="false">COUNTBLANK(Raw_Data!P2:P1409)</f>
        <v>14</v>
      </c>
    </row>
    <row r="15" customFormat="false" ht="15" hidden="false" customHeight="false" outlineLevel="0" collapsed="false">
      <c r="A15" s="7" t="s">
        <v>1444</v>
      </c>
      <c r="D15" s="8" t="n">
        <f aca="false">COUNTBLANK(Raw_Data!O2:O1409)</f>
        <v>1336</v>
      </c>
      <c r="E15" s="9" t="s">
        <v>1445</v>
      </c>
      <c r="F15" s="9"/>
      <c r="G15" s="9"/>
      <c r="H15" s="9"/>
    </row>
    <row r="16" customFormat="false" ht="15" hidden="false" customHeight="false" outlineLevel="0" collapsed="false">
      <c r="A16" s="7" t="s">
        <v>1446</v>
      </c>
      <c r="D16" s="8" t="n">
        <f aca="false">COUNTBLANK(Raw_Data!D2:D1409)</f>
        <v>0</v>
      </c>
    </row>
    <row r="17" customFormat="false" ht="15" hidden="false" customHeight="false" outlineLevel="0" collapsed="false">
      <c r="A17" s="7" t="s">
        <v>1447</v>
      </c>
      <c r="D17" s="8" t="n">
        <f aca="false">COUNTBLANK(Raw_Data!G2:G1409)</f>
        <v>0</v>
      </c>
    </row>
    <row r="18" customFormat="false" ht="15" hidden="false" customHeight="false" outlineLevel="0" collapsed="false">
      <c r="A18" s="7" t="s">
        <v>1448</v>
      </c>
      <c r="D18" s="8" t="n">
        <f aca="false">COUNTBLANK(Raw_Data!A2:A1409)</f>
        <v>0</v>
      </c>
    </row>
    <row r="19" customFormat="false" ht="15" hidden="false" customHeight="false" outlineLevel="0" collapsed="false">
      <c r="A19" s="7" t="s">
        <v>1449</v>
      </c>
      <c r="D19" s="8" t="n">
        <f aca="false">COUNTBLANK(Raw_Data!C2:C1409)</f>
        <v>0</v>
      </c>
    </row>
    <row r="20" customFormat="false" ht="15" hidden="false" customHeight="false" outlineLevel="0" collapsed="false">
      <c r="A20" s="7" t="s">
        <v>1450</v>
      </c>
      <c r="D20" s="8" t="n">
        <f aca="false">COUNTBLANK(Raw_Data!L2:L1409)</f>
        <v>0</v>
      </c>
    </row>
    <row r="21" customFormat="false" ht="15" hidden="false" customHeight="false" outlineLevel="0" collapsed="false">
      <c r="A21" s="7" t="s">
        <v>1451</v>
      </c>
      <c r="D21" s="8" t="n">
        <f aca="false">COUNTBLANK(Raw_Data!M2:M1409)</f>
        <v>0</v>
      </c>
    </row>
    <row r="22" customFormat="false" ht="15" hidden="false" customHeight="false" outlineLevel="0" collapsed="false">
      <c r="A22" s="7" t="s">
        <v>1452</v>
      </c>
      <c r="D22" s="8" t="n">
        <f aca="false">COUNTBLANK(Raw_Data!N2:N1409)</f>
        <v>0</v>
      </c>
    </row>
    <row r="24" customFormat="false" ht="15" hidden="false" customHeight="false" outlineLevel="0" collapsed="false">
      <c r="A24" s="6" t="s">
        <v>1453</v>
      </c>
      <c r="B24" s="6"/>
      <c r="C24" s="6"/>
      <c r="D24" s="6"/>
      <c r="E24" s="6"/>
      <c r="F24" s="6"/>
    </row>
    <row r="26" customFormat="false" ht="15" hidden="false" customHeight="false" outlineLevel="0" collapsed="false">
      <c r="A26" s="7" t="s">
        <v>1454</v>
      </c>
      <c r="D26" s="8" t="n">
        <f aca="false">SUMPRODUCT(1/COUNTIF(Raw_Data!A2:A1409,Raw_Data!A2:A1409))</f>
        <v>1400</v>
      </c>
    </row>
    <row r="27" customFormat="false" ht="15" hidden="false" customHeight="false" outlineLevel="0" collapsed="false">
      <c r="A27" s="7" t="s">
        <v>1455</v>
      </c>
      <c r="D27" s="8" t="n">
        <f aca="false">COUNTA(Raw_Data!A2:A1409)-D26</f>
        <v>8</v>
      </c>
      <c r="E27" s="9" t="s">
        <v>1456</v>
      </c>
      <c r="F27" s="9"/>
      <c r="G27" s="9"/>
      <c r="H27" s="9"/>
    </row>
    <row r="29" customFormat="false" ht="15" hidden="false" customHeight="false" outlineLevel="0" collapsed="false">
      <c r="A29" s="6" t="s">
        <v>1457</v>
      </c>
      <c r="B29" s="6"/>
      <c r="C29" s="6"/>
      <c r="D29" s="6"/>
      <c r="E29" s="6"/>
      <c r="F29" s="6"/>
    </row>
    <row r="31" customFormat="false" ht="15" hidden="false" customHeight="false" outlineLevel="0" collapsed="false">
      <c r="A31" s="7" t="s">
        <v>1458</v>
      </c>
      <c r="D31" s="8" t="n">
        <f aca="false">SUMPRODUCT((Raw_Data!H2:H1409&lt;&gt;0)*(Raw_Data!H2:H1409&lt;&gt;1))</f>
        <v>0</v>
      </c>
    </row>
    <row r="32" customFormat="false" ht="15" hidden="false" customHeight="false" outlineLevel="0" collapsed="false">
      <c r="A32" s="7" t="s">
        <v>1459</v>
      </c>
      <c r="D32" s="8" t="n">
        <f aca="false">SUMPRODUCT((Raw_Data!I2:I1409&lt;&gt;0)*(Raw_Data!I2:I1409&lt;&gt;1))</f>
        <v>0</v>
      </c>
    </row>
    <row r="33" customFormat="false" ht="15" hidden="false" customHeight="false" outlineLevel="0" collapsed="false">
      <c r="A33" s="7" t="s">
        <v>1460</v>
      </c>
      <c r="D33" s="8" t="n">
        <f aca="false">SUMPRODUCT((Raw_Data!J2:J1409&lt;&gt;0)*(Raw_Data!J2:J1409&lt;&gt;1))</f>
        <v>0</v>
      </c>
    </row>
    <row r="34" customFormat="false" ht="15" hidden="false" customHeight="false" outlineLevel="0" collapsed="false">
      <c r="A34" s="7" t="s">
        <v>1461</v>
      </c>
      <c r="D34" s="8" t="n">
        <f aca="false">SUMPRODUCT((Raw_Data!K2:K1409&lt;&gt;0)*(Raw_Data!K2:K1409&lt;&gt;1))</f>
        <v>0</v>
      </c>
    </row>
    <row r="35" customFormat="false" ht="15" hidden="false" customHeight="false" outlineLevel="0" collapsed="false">
      <c r="A35" s="7" t="s">
        <v>1462</v>
      </c>
      <c r="D35" s="8" t="n">
        <f aca="false">SUMPRODUCT((Raw_Data!N2:N1409&lt;&gt;0)*(Raw_Data!N2:N1409&lt;&gt;1))</f>
        <v>0</v>
      </c>
    </row>
    <row r="36" customFormat="false" ht="15" hidden="false" customHeight="false" outlineLevel="0" collapsed="false">
      <c r="A36" s="7" t="s">
        <v>1463</v>
      </c>
      <c r="D36" s="8" t="n">
        <f aca="false">COUNTIF(Raw_Data!M2:M1409,"&lt;0")</f>
        <v>0</v>
      </c>
    </row>
    <row r="37" customFormat="false" ht="15" hidden="false" customHeight="false" outlineLevel="0" collapsed="false">
      <c r="A37" s="7" t="s">
        <v>1464</v>
      </c>
      <c r="D37" s="8" t="n">
        <f aca="false">COUNTIF(Raw_Data!L2:L1409,"&lt;0")</f>
        <v>0</v>
      </c>
    </row>
    <row r="39" customFormat="false" ht="15" hidden="false" customHeight="false" outlineLevel="0" collapsed="false">
      <c r="A39" s="6" t="s">
        <v>1465</v>
      </c>
      <c r="B39" s="6"/>
      <c r="C39" s="6"/>
      <c r="D39" s="6"/>
      <c r="E39" s="6"/>
      <c r="F39" s="6"/>
    </row>
    <row r="41" customFormat="false" ht="15" hidden="false" customHeight="false" outlineLevel="0" collapsed="false">
      <c r="A41" s="7" t="s">
        <v>1466</v>
      </c>
      <c r="D41" s="10" t="n">
        <f aca="false">AVERAGE(Raw_Data!L2:L1409)</f>
        <v>52.828828125</v>
      </c>
    </row>
    <row r="42" customFormat="false" ht="15" hidden="false" customHeight="false" outlineLevel="0" collapsed="false">
      <c r="A42" s="7" t="s">
        <v>1467</v>
      </c>
      <c r="D42" s="10" t="n">
        <f aca="false">STDEV(Raw_Data!L2:L1409)</f>
        <v>375.936702672373</v>
      </c>
    </row>
    <row r="43" customFormat="false" ht="15" hidden="false" customHeight="false" outlineLevel="0" collapsed="false">
      <c r="A43" s="7" t="s">
        <v>1468</v>
      </c>
      <c r="D43" s="8" t="n">
        <f aca="false">SUMPRODUCT((ABS((Raw_Data!L2:L1409-D41)/D42)&gt;3)*1)</f>
        <v>18</v>
      </c>
      <c r="E43" s="9" t="s">
        <v>1469</v>
      </c>
      <c r="F43" s="9"/>
      <c r="G43" s="9"/>
      <c r="H43" s="9"/>
    </row>
    <row r="44" customFormat="false" ht="15" hidden="false" customHeight="false" outlineLevel="0" collapsed="false">
      <c r="A44" s="7" t="s">
        <v>1470</v>
      </c>
      <c r="D44" s="10" t="n">
        <f aca="false">MAX(Raw_Data!L2:L1409)</f>
        <v>8610.72</v>
      </c>
    </row>
    <row r="45" customFormat="false" ht="15" hidden="false" customHeight="false" outlineLevel="0" collapsed="false">
      <c r="A45" s="7" t="s">
        <v>1471</v>
      </c>
      <c r="D45" s="10" t="n">
        <f aca="false">MEDIAN(Raw_Data!L2:L1409)</f>
        <v>0</v>
      </c>
    </row>
    <row r="47" customFormat="false" ht="15" hidden="false" customHeight="false" outlineLevel="0" collapsed="false">
      <c r="A47" s="6" t="s">
        <v>1472</v>
      </c>
      <c r="B47" s="6"/>
      <c r="C47" s="6"/>
      <c r="D47" s="6"/>
      <c r="E47" s="6"/>
      <c r="F47" s="6"/>
    </row>
    <row r="49" customFormat="false" ht="15" hidden="false" customHeight="false" outlineLevel="0" collapsed="false">
      <c r="A49" s="11" t="s">
        <v>1473</v>
      </c>
      <c r="B49" s="11" t="s">
        <v>1474</v>
      </c>
      <c r="C49" s="11" t="s">
        <v>1475</v>
      </c>
      <c r="D49" s="11" t="s">
        <v>1476</v>
      </c>
    </row>
    <row r="50" customFormat="false" ht="15" hidden="false" customHeight="false" outlineLevel="0" collapsed="false">
      <c r="A50" s="3" t="s">
        <v>3</v>
      </c>
      <c r="B50" s="3" t="s">
        <v>28</v>
      </c>
      <c r="C50" s="12" t="n">
        <f aca="false">COUNTIFS(Raw_Data!D2:D1409,B50,Raw_Data!C2:C1409,"Control")/COUNTIF(Raw_Data!C2:C1409,"Control")</f>
        <v>0.227994227994228</v>
      </c>
      <c r="D50" s="12" t="n">
        <f aca="false">COUNTIFS(Raw_Data!D2:D1409,B50,Raw_Data!C2:C1409,"Treatment")/COUNTIF(Raw_Data!C2:C1409,"Treatment")</f>
        <v>0.240559440559441</v>
      </c>
    </row>
    <row r="51" customFormat="false" ht="15" hidden="false" customHeight="false" outlineLevel="0" collapsed="false">
      <c r="A51" s="3" t="s">
        <v>3</v>
      </c>
      <c r="B51" s="3" t="s">
        <v>18</v>
      </c>
      <c r="C51" s="12" t="n">
        <f aca="false">COUNTIFS(Raw_Data!D2:D1409,B51,Raw_Data!C2:C1409,"Control")/COUNTIF(Raw_Data!C2:C1409,"Control")</f>
        <v>0.292929292929293</v>
      </c>
      <c r="D51" s="12" t="n">
        <f aca="false">COUNTIFS(Raw_Data!D2:D1409,B51,Raw_Data!C2:C1409,"Treatment")/COUNTIF(Raw_Data!C2:C1409,"Treatment")</f>
        <v>0.251748251748252</v>
      </c>
    </row>
    <row r="52" customFormat="false" ht="15" hidden="false" customHeight="false" outlineLevel="0" collapsed="false">
      <c r="A52" s="3" t="s">
        <v>3</v>
      </c>
      <c r="B52" s="3" t="s">
        <v>32</v>
      </c>
      <c r="C52" s="12" t="n">
        <f aca="false">COUNTIFS(Raw_Data!D2:D1409,B52,Raw_Data!C2:C1409,"Control")/COUNTIF(Raw_Data!C2:C1409,"Control")</f>
        <v>0.265512265512266</v>
      </c>
      <c r="D52" s="12" t="n">
        <f aca="false">COUNTIFS(Raw_Data!D2:D1409,B52,Raw_Data!C2:C1409,"Treatment")/COUNTIF(Raw_Data!C2:C1409,"Treatment")</f>
        <v>0.257342657342657</v>
      </c>
    </row>
    <row r="53" customFormat="false" ht="15" hidden="false" customHeight="false" outlineLevel="0" collapsed="false">
      <c r="A53" s="3" t="s">
        <v>3</v>
      </c>
      <c r="B53" s="3" t="s">
        <v>23</v>
      </c>
      <c r="C53" s="12" t="n">
        <f aca="false">COUNTIFS(Raw_Data!D2:D1409,B53,Raw_Data!C2:C1409,"Control")/COUNTIF(Raw_Data!C2:C1409,"Control")</f>
        <v>0.213564213564214</v>
      </c>
      <c r="D53" s="12" t="n">
        <f aca="false">COUNTIFS(Raw_Data!D2:D1409,B53,Raw_Data!C2:C1409,"Treatment")/COUNTIF(Raw_Data!C2:C1409,"Treatment")</f>
        <v>0.25034965034965</v>
      </c>
    </row>
    <row r="54" customFormat="false" ht="15" hidden="false" customHeight="false" outlineLevel="0" collapsed="false">
      <c r="A54" s="3" t="s">
        <v>4</v>
      </c>
      <c r="B54" s="3" t="s">
        <v>19</v>
      </c>
      <c r="C54" s="12" t="n">
        <f aca="false">COUNTIFS(Raw_Data!E2:E1409,B54,Raw_Data!C2:C1409,"Control")/COUNTIF(Raw_Data!C2:C1409,"Control")</f>
        <v>0.288600288600289</v>
      </c>
      <c r="D54" s="12" t="n">
        <f aca="false">COUNTIFS(Raw_Data!E2:E1409,B54,Raw_Data!C2:C1409,"Treatment")/COUNTIF(Raw_Data!C2:C1409,"Treatment")</f>
        <v>0.299300699300699</v>
      </c>
    </row>
    <row r="55" customFormat="false" ht="15" hidden="false" customHeight="false" outlineLevel="0" collapsed="false">
      <c r="A55" s="3" t="s">
        <v>4</v>
      </c>
      <c r="B55" s="3" t="s">
        <v>24</v>
      </c>
      <c r="C55" s="12" t="n">
        <f aca="false">COUNTIFS(Raw_Data!E2:E1409,B55,Raw_Data!C2:C1409,"Control")/COUNTIF(Raw_Data!C2:C1409,"Control")</f>
        <v>0.617604617604618</v>
      </c>
      <c r="D55" s="12" t="n">
        <f aca="false">COUNTIFS(Raw_Data!E2:E1409,B55,Raw_Data!C2:C1409,"Treatment")/COUNTIF(Raw_Data!C2:C1409,"Treatment")</f>
        <v>0.60979020979021</v>
      </c>
    </row>
    <row r="56" customFormat="false" ht="15" hidden="false" customHeight="false" outlineLevel="0" collapsed="false">
      <c r="A56" s="3" t="s">
        <v>4</v>
      </c>
      <c r="B56" s="3" t="s">
        <v>34</v>
      </c>
      <c r="C56" s="12" t="n">
        <f aca="false">COUNTIFS(Raw_Data!E2:E1409,B56,Raw_Data!C2:C1409,"Control")/COUNTIF(Raw_Data!C2:C1409,"Control")</f>
        <v>0.0808080808080808</v>
      </c>
      <c r="D56" s="12" t="n">
        <f aca="false">COUNTIFS(Raw_Data!E2:E1409,B56,Raw_Data!C2:C1409,"Treatment")/COUNTIF(Raw_Data!C2:C1409,"Treatment")</f>
        <v>0.0783216783216783</v>
      </c>
    </row>
    <row r="57" customFormat="false" ht="15" hidden="false" customHeight="false" outlineLevel="0" collapsed="false">
      <c r="A57" s="3" t="s">
        <v>5</v>
      </c>
      <c r="B57" s="3" t="s">
        <v>20</v>
      </c>
      <c r="C57" s="12" t="n">
        <f aca="false">COUNTIFS(Raw_Data!F2:F1409,B57,Raw_Data!C2:C1409,"Control")/COUNTIF(Raw_Data!C2:C1409,"Control")</f>
        <v>0.106782106782107</v>
      </c>
      <c r="D57" s="12" t="n">
        <f aca="false">COUNTIFS(Raw_Data!F2:F1409,B57,Raw_Data!C2:C1409,"Treatment")/COUNTIF(Raw_Data!C2:C1409,"Treatment")</f>
        <v>0.0783216783216783</v>
      </c>
    </row>
    <row r="58" customFormat="false" ht="15" hidden="false" customHeight="false" outlineLevel="0" collapsed="false">
      <c r="A58" s="3" t="s">
        <v>5</v>
      </c>
      <c r="B58" s="3" t="s">
        <v>25</v>
      </c>
      <c r="C58" s="12" t="n">
        <f aca="false">COUNTIFS(Raw_Data!F2:F1409,B58,Raw_Data!C2:C1409,"Control")/COUNTIF(Raw_Data!C2:C1409,"Control")</f>
        <v>0.354978354978355</v>
      </c>
      <c r="D58" s="12" t="n">
        <f aca="false">COUNTIFS(Raw_Data!F2:F1409,B58,Raw_Data!C2:C1409,"Treatment")/COUNTIF(Raw_Data!C2:C1409,"Treatment")</f>
        <v>0.337062937062937</v>
      </c>
    </row>
    <row r="59" customFormat="false" ht="15" hidden="false" customHeight="false" outlineLevel="0" collapsed="false">
      <c r="A59" s="3" t="s">
        <v>5</v>
      </c>
      <c r="B59" s="3" t="s">
        <v>29</v>
      </c>
      <c r="C59" s="12" t="n">
        <f aca="false">COUNTIFS(Raw_Data!F2:F1409,B59,Raw_Data!C2:C1409,"Control")/COUNTIF(Raw_Data!C2:C1409,"Control")</f>
        <v>0.225108225108225</v>
      </c>
      <c r="D59" s="12" t="n">
        <f aca="false">COUNTIFS(Raw_Data!F2:F1409,B59,Raw_Data!C2:C1409,"Treatment")/COUNTIF(Raw_Data!C2:C1409,"Treatment")</f>
        <v>0.246153846153846</v>
      </c>
    </row>
    <row r="60" customFormat="false" ht="15" hidden="false" customHeight="false" outlineLevel="0" collapsed="false">
      <c r="A60" s="3" t="s">
        <v>5</v>
      </c>
      <c r="B60" s="3" t="s">
        <v>39</v>
      </c>
      <c r="C60" s="12" t="n">
        <f aca="false">COUNTIFS(Raw_Data!F2:F1409,B60,Raw_Data!C2:C1409,"Control")/COUNTIF(Raw_Data!C2:C1409,"Control")</f>
        <v>0.116883116883117</v>
      </c>
      <c r="D60" s="12" t="n">
        <f aca="false">COUNTIFS(Raw_Data!F2:F1409,B60,Raw_Data!C2:C1409,"Treatment")/COUNTIF(Raw_Data!C2:C1409,"Treatment")</f>
        <v>0.127272727272727</v>
      </c>
    </row>
    <row r="61" customFormat="false" ht="15" hidden="false" customHeight="false" outlineLevel="0" collapsed="false">
      <c r="A61" s="3" t="s">
        <v>5</v>
      </c>
      <c r="B61" s="3" t="s">
        <v>41</v>
      </c>
      <c r="C61" s="12" t="n">
        <f aca="false">COUNTIFS(Raw_Data!F2:F1409,B61,Raw_Data!C2:C1409,"Control")/COUNTIF(Raw_Data!C2:C1409,"Control")</f>
        <v>0.187590187590188</v>
      </c>
      <c r="D61" s="12" t="n">
        <f aca="false">COUNTIFS(Raw_Data!F2:F1409,B61,Raw_Data!C2:C1409,"Treatment")/COUNTIF(Raw_Data!C2:C1409,"Treatment")</f>
        <v>0.186013986013986</v>
      </c>
    </row>
    <row r="62" customFormat="false" ht="15" hidden="false" customHeight="false" outlineLevel="0" collapsed="false">
      <c r="A62" s="3" t="s">
        <v>6</v>
      </c>
      <c r="B62" s="3" t="s">
        <v>21</v>
      </c>
      <c r="C62" s="12" t="n">
        <f aca="false">COUNTIFS(Raw_Data!G2:G1409,B62,Raw_Data!C2:C1409,"Control")/COUNTIF(Raw_Data!C2:C1409,"Control")</f>
        <v>0.321789321789322</v>
      </c>
      <c r="D62" s="12" t="n">
        <f aca="false">COUNTIFS(Raw_Data!G2:G1409,B62,Raw_Data!C2:C1409,"Treatment")/COUNTIF(Raw_Data!C2:C1409,"Treatment")</f>
        <v>0.328671328671329</v>
      </c>
    </row>
    <row r="63" customFormat="false" ht="15" hidden="false" customHeight="false" outlineLevel="0" collapsed="false">
      <c r="A63" s="3" t="s">
        <v>6</v>
      </c>
      <c r="B63" s="3" t="s">
        <v>26</v>
      </c>
      <c r="C63" s="12" t="n">
        <f aca="false">COUNTIFS(Raw_Data!G2:G1409,B63,Raw_Data!C2:C1409,"Control")/COUNTIF(Raw_Data!C2:C1409,"Control")</f>
        <v>0.520923520923521</v>
      </c>
      <c r="D63" s="12" t="n">
        <f aca="false">COUNTIFS(Raw_Data!G2:G1409,B63,Raw_Data!C2:C1409,"Treatment")/COUNTIF(Raw_Data!C2:C1409,"Treatment")</f>
        <v>0.514685314685315</v>
      </c>
    </row>
    <row r="64" customFormat="false" ht="15" hidden="false" customHeight="false" outlineLevel="0" collapsed="false">
      <c r="A64" s="3" t="s">
        <v>6</v>
      </c>
      <c r="B64" s="3" t="s">
        <v>30</v>
      </c>
      <c r="C64" s="12" t="n">
        <f aca="false">COUNTIFS(Raw_Data!G2:G1409,B64,Raw_Data!C2:C1409,"Control")/COUNTIF(Raw_Data!C2:C1409,"Control")</f>
        <v>0.157287157287157</v>
      </c>
      <c r="D64" s="12" t="n">
        <f aca="false">COUNTIFS(Raw_Data!G2:G1409,B64,Raw_Data!C2:C1409,"Treatment")/COUNTIF(Raw_Data!C2:C1409,"Treatment")</f>
        <v>0.156643356643357</v>
      </c>
    </row>
    <row r="66" customFormat="false" ht="15" hidden="false" customHeight="false" outlineLevel="0" collapsed="false">
      <c r="A66" s="6" t="s">
        <v>1477</v>
      </c>
      <c r="B66" s="6"/>
      <c r="C66" s="6"/>
      <c r="D66" s="6"/>
      <c r="E66" s="6"/>
      <c r="F66" s="6"/>
    </row>
    <row r="68" customFormat="false" ht="27.75" hidden="false" customHeight="true" outlineLevel="0" collapsed="false">
      <c r="A68" s="13" t="s">
        <v>1478</v>
      </c>
      <c r="B68" s="13"/>
      <c r="C68" s="13"/>
      <c r="D68" s="13"/>
      <c r="E68" s="13"/>
      <c r="F68" s="13"/>
      <c r="G68" s="13"/>
      <c r="H68" s="13"/>
    </row>
    <row r="69" customFormat="false" ht="27.75" hidden="false" customHeight="true" outlineLevel="0" collapsed="false">
      <c r="A69" s="13" t="s">
        <v>1479</v>
      </c>
      <c r="B69" s="13"/>
      <c r="C69" s="13"/>
      <c r="D69" s="13"/>
      <c r="E69" s="13"/>
      <c r="F69" s="13"/>
      <c r="G69" s="13"/>
      <c r="H69" s="13"/>
    </row>
    <row r="70" customFormat="false" ht="27.75" hidden="false" customHeight="true" outlineLevel="0" collapsed="false">
      <c r="A70" s="13" t="s">
        <v>1480</v>
      </c>
      <c r="B70" s="13"/>
      <c r="C70" s="13"/>
      <c r="D70" s="13"/>
      <c r="E70" s="13"/>
      <c r="F70" s="13"/>
      <c r="G70" s="13"/>
      <c r="H70" s="13"/>
    </row>
    <row r="71" customFormat="false" ht="27.75" hidden="false" customHeight="true" outlineLevel="0" collapsed="false">
      <c r="A71" s="13" t="s">
        <v>1481</v>
      </c>
      <c r="B71" s="13"/>
      <c r="C71" s="13"/>
      <c r="D71" s="13"/>
      <c r="E71" s="13"/>
      <c r="F71" s="13"/>
      <c r="G71" s="13"/>
      <c r="H71" s="13"/>
    </row>
    <row r="72" customFormat="false" ht="27.75" hidden="false" customHeight="true" outlineLevel="0" collapsed="false">
      <c r="A72" s="13" t="s">
        <v>1482</v>
      </c>
      <c r="B72" s="13"/>
      <c r="C72" s="13"/>
      <c r="D72" s="13"/>
      <c r="E72" s="13"/>
      <c r="F72" s="13"/>
      <c r="G72" s="13"/>
      <c r="H72" s="13"/>
    </row>
    <row r="73" customFormat="false" ht="27.75" hidden="false" customHeight="true" outlineLevel="0" collapsed="false">
      <c r="A73" s="13" t="s">
        <v>1483</v>
      </c>
      <c r="B73" s="13"/>
      <c r="C73" s="13"/>
      <c r="D73" s="13"/>
      <c r="E73" s="13"/>
      <c r="F73" s="13"/>
      <c r="G73" s="13"/>
      <c r="H73" s="13"/>
    </row>
    <row r="74" customFormat="false" ht="27.75" hidden="false" customHeight="true" outlineLevel="0" collapsed="false">
      <c r="A74" s="13" t="s">
        <v>1484</v>
      </c>
      <c r="B74" s="13"/>
      <c r="C74" s="13"/>
      <c r="D74" s="13"/>
      <c r="E74" s="13"/>
      <c r="F74" s="13"/>
      <c r="G74" s="13"/>
      <c r="H74" s="13"/>
    </row>
  </sheetData>
  <mergeCells count="18">
    <mergeCell ref="A3:F3"/>
    <mergeCell ref="E8:H8"/>
    <mergeCell ref="A10:F10"/>
    <mergeCell ref="E15:H15"/>
    <mergeCell ref="A24:F24"/>
    <mergeCell ref="E27:H27"/>
    <mergeCell ref="A29:F29"/>
    <mergeCell ref="A39:F39"/>
    <mergeCell ref="E43:H43"/>
    <mergeCell ref="A47:F47"/>
    <mergeCell ref="A66:F66"/>
    <mergeCell ref="A68:H68"/>
    <mergeCell ref="A69:H69"/>
    <mergeCell ref="A70:H70"/>
    <mergeCell ref="A71:H71"/>
    <mergeCell ref="A72:H72"/>
    <mergeCell ref="A73:H73"/>
    <mergeCell ref="A74:H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14"/>
    <col collapsed="false" customWidth="true" hidden="false" outlineLevel="0" max="13" min="13" style="1" width="21"/>
    <col collapsed="false" customWidth="true" hidden="false" outlineLevel="0" max="14" min="14" style="1" width="18"/>
    <col collapsed="false" customWidth="true" hidden="false" outlineLevel="0" max="15" min="15" style="1" width="17"/>
    <col collapsed="false" customWidth="true" hidden="false" outlineLevel="0" max="16" min="16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4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false" outlineLevel="0" collapsed="false">
      <c r="A3" s="3" t="s">
        <v>22</v>
      </c>
      <c r="B3" s="4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3" t="s">
        <v>27</v>
      </c>
      <c r="B4" s="4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false" outlineLevel="0" collapsed="false">
      <c r="A5" s="3" t="s">
        <v>31</v>
      </c>
      <c r="B5" s="4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3" t="s">
        <v>33</v>
      </c>
      <c r="B6" s="4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false" outlineLevel="0" collapsed="false">
      <c r="A7" s="3" t="s">
        <v>35</v>
      </c>
      <c r="B7" s="4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3" t="s">
        <v>36</v>
      </c>
      <c r="B8" s="4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false" outlineLevel="0" collapsed="false">
      <c r="A9" s="3" t="s">
        <v>37</v>
      </c>
      <c r="B9" s="4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3" t="s">
        <v>38</v>
      </c>
      <c r="B10" s="4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false" outlineLevel="0" collapsed="false">
      <c r="A11" s="3" t="s">
        <v>40</v>
      </c>
      <c r="B11" s="4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3" t="s">
        <v>42</v>
      </c>
      <c r="B12" s="4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false" outlineLevel="0" collapsed="false">
      <c r="A13" s="3" t="s">
        <v>43</v>
      </c>
      <c r="B13" s="4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3" t="s">
        <v>44</v>
      </c>
      <c r="B14" s="4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false" outlineLevel="0" collapsed="false">
      <c r="A15" s="3" t="s">
        <v>45</v>
      </c>
      <c r="B15" s="4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3" t="s">
        <v>46</v>
      </c>
      <c r="B16" s="4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false" outlineLevel="0" collapsed="false">
      <c r="A17" s="3" t="s">
        <v>47</v>
      </c>
      <c r="B17" s="4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3" t="s">
        <v>48</v>
      </c>
      <c r="B18" s="4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false" outlineLevel="0" collapsed="false">
      <c r="A19" s="3" t="s">
        <v>49</v>
      </c>
      <c r="B19" s="4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3" t="s">
        <v>50</v>
      </c>
      <c r="B20" s="4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false" outlineLevel="0" collapsed="false">
      <c r="A21" s="3" t="s">
        <v>51</v>
      </c>
      <c r="B21" s="4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3" t="s">
        <v>52</v>
      </c>
      <c r="B22" s="4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false" outlineLevel="0" collapsed="false">
      <c r="A23" s="3" t="s">
        <v>53</v>
      </c>
      <c r="B23" s="4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3" t="s">
        <v>54</v>
      </c>
      <c r="B24" s="4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false" outlineLevel="0" collapsed="false">
      <c r="A25" s="3" t="s">
        <v>55</v>
      </c>
      <c r="B25" s="4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3" t="s">
        <v>56</v>
      </c>
      <c r="B26" s="4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false" outlineLevel="0" collapsed="false">
      <c r="A27" s="3" t="s">
        <v>57</v>
      </c>
      <c r="B27" s="4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3" t="s">
        <v>58</v>
      </c>
      <c r="B28" s="4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false" outlineLevel="0" collapsed="false">
      <c r="A29" s="3" t="s">
        <v>59</v>
      </c>
      <c r="B29" s="4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3" t="s">
        <v>60</v>
      </c>
      <c r="B30" s="4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false" outlineLevel="0" collapsed="false">
      <c r="A31" s="3" t="s">
        <v>61</v>
      </c>
      <c r="B31" s="4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3" t="s">
        <v>62</v>
      </c>
      <c r="B32" s="4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false" outlineLevel="0" collapsed="false">
      <c r="A33" s="3" t="s">
        <v>63</v>
      </c>
      <c r="B33" s="4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3" t="s">
        <v>64</v>
      </c>
      <c r="B34" s="4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false" outlineLevel="0" collapsed="false">
      <c r="A35" s="3" t="s">
        <v>65</v>
      </c>
      <c r="B35" s="4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3" t="s">
        <v>66</v>
      </c>
      <c r="B36" s="4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false" outlineLevel="0" collapsed="false">
      <c r="A37" s="3" t="s">
        <v>67</v>
      </c>
      <c r="B37" s="4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3" t="s">
        <v>68</v>
      </c>
      <c r="B38" s="4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false" outlineLevel="0" collapsed="false">
      <c r="A39" s="3" t="s">
        <v>69</v>
      </c>
      <c r="B39" s="4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3" t="s">
        <v>70</v>
      </c>
      <c r="B40" s="4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false" outlineLevel="0" collapsed="false">
      <c r="A41" s="3" t="s">
        <v>71</v>
      </c>
      <c r="B41" s="4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3" t="s">
        <v>72</v>
      </c>
      <c r="B42" s="4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false" outlineLevel="0" collapsed="false">
      <c r="A43" s="3" t="s">
        <v>73</v>
      </c>
      <c r="B43" s="4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3" t="s">
        <v>74</v>
      </c>
      <c r="B44" s="4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false" outlineLevel="0" collapsed="false">
      <c r="A45" s="3" t="s">
        <v>75</v>
      </c>
      <c r="B45" s="4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3" t="s">
        <v>76</v>
      </c>
      <c r="B46" s="4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false" outlineLevel="0" collapsed="false">
      <c r="A47" s="3" t="s">
        <v>77</v>
      </c>
      <c r="B47" s="4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3" t="s">
        <v>78</v>
      </c>
      <c r="B48" s="4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false" outlineLevel="0" collapsed="false">
      <c r="A49" s="3" t="s">
        <v>79</v>
      </c>
      <c r="B49" s="4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3" t="s">
        <v>80</v>
      </c>
      <c r="B50" s="4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false" outlineLevel="0" collapsed="false">
      <c r="A51" s="3" t="s">
        <v>81</v>
      </c>
      <c r="B51" s="4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3" t="s">
        <v>82</v>
      </c>
      <c r="B52" s="4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false" outlineLevel="0" collapsed="false">
      <c r="A53" s="3" t="s">
        <v>83</v>
      </c>
      <c r="B53" s="4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3" t="s">
        <v>84</v>
      </c>
      <c r="B54" s="4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false" outlineLevel="0" collapsed="false">
      <c r="A55" s="3" t="s">
        <v>85</v>
      </c>
      <c r="B55" s="4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3" t="s">
        <v>86</v>
      </c>
      <c r="B56" s="4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false" outlineLevel="0" collapsed="false">
      <c r="A57" s="3" t="s">
        <v>87</v>
      </c>
      <c r="B57" s="4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3" t="s">
        <v>88</v>
      </c>
      <c r="B58" s="4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false" outlineLevel="0" collapsed="false">
      <c r="A59" s="3" t="s">
        <v>89</v>
      </c>
      <c r="B59" s="4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3" t="s">
        <v>90</v>
      </c>
      <c r="B60" s="4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false" outlineLevel="0" collapsed="false">
      <c r="A61" s="3" t="s">
        <v>91</v>
      </c>
      <c r="B61" s="4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3" t="s">
        <v>92</v>
      </c>
      <c r="B62" s="4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false" outlineLevel="0" collapsed="false">
      <c r="A63" s="3" t="s">
        <v>93</v>
      </c>
      <c r="B63" s="4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3" t="s">
        <v>94</v>
      </c>
      <c r="B64" s="4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false" outlineLevel="0" collapsed="false">
      <c r="A65" s="3" t="s">
        <v>95</v>
      </c>
      <c r="B65" s="4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3" t="s">
        <v>96</v>
      </c>
      <c r="B66" s="4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false" outlineLevel="0" collapsed="false">
      <c r="A67" s="3" t="s">
        <v>97</v>
      </c>
      <c r="B67" s="4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3" t="s">
        <v>98</v>
      </c>
      <c r="B68" s="4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false" outlineLevel="0" collapsed="false">
      <c r="A69" s="3" t="s">
        <v>99</v>
      </c>
      <c r="B69" s="4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3" t="s">
        <v>100</v>
      </c>
      <c r="B70" s="4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false" outlineLevel="0" collapsed="false">
      <c r="A71" s="3" t="s">
        <v>101</v>
      </c>
      <c r="B71" s="4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3" t="s">
        <v>102</v>
      </c>
      <c r="B72" s="4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false" outlineLevel="0" collapsed="false">
      <c r="A73" s="3" t="s">
        <v>103</v>
      </c>
      <c r="B73" s="4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3" t="s">
        <v>104</v>
      </c>
      <c r="B74" s="4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false" outlineLevel="0" collapsed="false">
      <c r="A75" s="3" t="s">
        <v>105</v>
      </c>
      <c r="B75" s="4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3" t="s">
        <v>106</v>
      </c>
      <c r="B76" s="4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false" outlineLevel="0" collapsed="false">
      <c r="A77" s="3" t="s">
        <v>107</v>
      </c>
      <c r="B77" s="4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3" t="s">
        <v>108</v>
      </c>
      <c r="B78" s="4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false" outlineLevel="0" collapsed="false">
      <c r="A79" s="3" t="s">
        <v>109</v>
      </c>
      <c r="B79" s="4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3" t="s">
        <v>110</v>
      </c>
      <c r="B80" s="4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false" outlineLevel="0" collapsed="false">
      <c r="A81" s="3" t="s">
        <v>111</v>
      </c>
      <c r="B81" s="4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3" t="s">
        <v>112</v>
      </c>
      <c r="B82" s="4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false" outlineLevel="0" collapsed="false">
      <c r="A83" s="3" t="s">
        <v>113</v>
      </c>
      <c r="B83" s="4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3" t="s">
        <v>114</v>
      </c>
      <c r="B84" s="4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false" outlineLevel="0" collapsed="false">
      <c r="A85" s="3" t="s">
        <v>115</v>
      </c>
      <c r="B85" s="4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3" t="s">
        <v>116</v>
      </c>
      <c r="B86" s="4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false" outlineLevel="0" collapsed="false">
      <c r="A87" s="3" t="s">
        <v>117</v>
      </c>
      <c r="B87" s="4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3" t="s">
        <v>118</v>
      </c>
      <c r="B88" s="4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false" outlineLevel="0" collapsed="false">
      <c r="A89" s="3" t="s">
        <v>119</v>
      </c>
      <c r="B89" s="4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3" t="s">
        <v>120</v>
      </c>
      <c r="B90" s="4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false" outlineLevel="0" collapsed="false">
      <c r="A91" s="3" t="s">
        <v>121</v>
      </c>
      <c r="B91" s="4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3" t="s">
        <v>122</v>
      </c>
      <c r="B92" s="4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false" outlineLevel="0" collapsed="false">
      <c r="A93" s="3" t="s">
        <v>123</v>
      </c>
      <c r="B93" s="4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3" t="s">
        <v>124</v>
      </c>
      <c r="B94" s="4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false" outlineLevel="0" collapsed="false">
      <c r="A95" s="3" t="s">
        <v>125</v>
      </c>
      <c r="B95" s="4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3" t="s">
        <v>126</v>
      </c>
      <c r="B96" s="4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false" outlineLevel="0" collapsed="false">
      <c r="A97" s="3" t="s">
        <v>127</v>
      </c>
      <c r="B97" s="4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3" t="s">
        <v>128</v>
      </c>
      <c r="B98" s="4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false" outlineLevel="0" collapsed="false">
      <c r="A99" s="3" t="s">
        <v>129</v>
      </c>
      <c r="B99" s="4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3" t="s">
        <v>130</v>
      </c>
      <c r="B100" s="4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false" outlineLevel="0" collapsed="false">
      <c r="A101" s="3" t="s">
        <v>131</v>
      </c>
      <c r="B101" s="4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3" t="s">
        <v>132</v>
      </c>
      <c r="B102" s="4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false" outlineLevel="0" collapsed="false">
      <c r="A103" s="3" t="s">
        <v>133</v>
      </c>
      <c r="B103" s="4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3" t="s">
        <v>134</v>
      </c>
      <c r="B104" s="4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false" outlineLevel="0" collapsed="false">
      <c r="A105" s="3" t="s">
        <v>135</v>
      </c>
      <c r="B105" s="4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3" t="s">
        <v>136</v>
      </c>
      <c r="B106" s="4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false" outlineLevel="0" collapsed="false">
      <c r="A107" s="3" t="s">
        <v>137</v>
      </c>
      <c r="B107" s="4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3" t="s">
        <v>138</v>
      </c>
      <c r="B108" s="4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false" outlineLevel="0" collapsed="false">
      <c r="A109" s="3" t="s">
        <v>139</v>
      </c>
      <c r="B109" s="4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3" t="s">
        <v>140</v>
      </c>
      <c r="B110" s="4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false" outlineLevel="0" collapsed="false">
      <c r="A111" s="3" t="s">
        <v>141</v>
      </c>
      <c r="B111" s="4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3" t="s">
        <v>142</v>
      </c>
      <c r="B112" s="4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false" outlineLevel="0" collapsed="false">
      <c r="A113" s="3" t="s">
        <v>143</v>
      </c>
      <c r="B113" s="4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3" t="s">
        <v>144</v>
      </c>
      <c r="B114" s="4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false" outlineLevel="0" collapsed="false">
      <c r="A115" s="3" t="s">
        <v>145</v>
      </c>
      <c r="B115" s="4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3" t="s">
        <v>146</v>
      </c>
      <c r="B116" s="4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false" outlineLevel="0" collapsed="false">
      <c r="A117" s="3" t="s">
        <v>147</v>
      </c>
      <c r="B117" s="4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3" t="s">
        <v>148</v>
      </c>
      <c r="B118" s="4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false" outlineLevel="0" collapsed="false">
      <c r="A119" s="3" t="s">
        <v>149</v>
      </c>
      <c r="B119" s="4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3" t="s">
        <v>150</v>
      </c>
      <c r="B120" s="4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false" outlineLevel="0" collapsed="false">
      <c r="A121" s="3" t="s">
        <v>151</v>
      </c>
      <c r="B121" s="4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3" t="s">
        <v>152</v>
      </c>
      <c r="B122" s="4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false" outlineLevel="0" collapsed="false">
      <c r="A123" s="3" t="s">
        <v>153</v>
      </c>
      <c r="B123" s="4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3" t="s">
        <v>154</v>
      </c>
      <c r="B124" s="4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false" outlineLevel="0" collapsed="false">
      <c r="A125" s="3" t="s">
        <v>155</v>
      </c>
      <c r="B125" s="4" t="n">
        <v>45807</v>
      </c>
      <c r="C125" s="3" t="s">
        <v>17</v>
      </c>
      <c r="D125" s="3" t="s">
        <v>23</v>
      </c>
      <c r="E125" s="3" t="s">
        <v>1485</v>
      </c>
      <c r="F125" s="3" t="s">
        <v>20</v>
      </c>
      <c r="G125" s="3" t="s">
        <v>21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3" t="s">
        <v>156</v>
      </c>
      <c r="B126" s="4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false" outlineLevel="0" collapsed="false">
      <c r="A127" s="3" t="s">
        <v>157</v>
      </c>
      <c r="B127" s="4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3" t="s">
        <v>158</v>
      </c>
      <c r="B128" s="4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false" outlineLevel="0" collapsed="false">
      <c r="A129" s="3" t="s">
        <v>159</v>
      </c>
      <c r="B129" s="4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3" t="s">
        <v>160</v>
      </c>
      <c r="B130" s="4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false" outlineLevel="0" collapsed="false">
      <c r="A131" s="3" t="s">
        <v>161</v>
      </c>
      <c r="B131" s="4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3" t="s">
        <v>162</v>
      </c>
      <c r="B132" s="4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false" outlineLevel="0" collapsed="false">
      <c r="A133" s="3" t="s">
        <v>163</v>
      </c>
      <c r="B133" s="4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3" t="s">
        <v>164</v>
      </c>
      <c r="B134" s="4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false" outlineLevel="0" collapsed="false">
      <c r="A135" s="3" t="s">
        <v>165</v>
      </c>
      <c r="B135" s="4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3" t="s">
        <v>166</v>
      </c>
      <c r="B136" s="4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false" outlineLevel="0" collapsed="false">
      <c r="A137" s="3" t="s">
        <v>167</v>
      </c>
      <c r="B137" s="4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3" t="s">
        <v>168</v>
      </c>
      <c r="B138" s="4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false" outlineLevel="0" collapsed="false">
      <c r="A139" s="3" t="s">
        <v>169</v>
      </c>
      <c r="B139" s="4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3" t="s">
        <v>170</v>
      </c>
      <c r="B140" s="4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false" outlineLevel="0" collapsed="false">
      <c r="A141" s="3" t="s">
        <v>171</v>
      </c>
      <c r="B141" s="4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3" t="s">
        <v>172</v>
      </c>
      <c r="B142" s="4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false" outlineLevel="0" collapsed="false">
      <c r="A143" s="3" t="s">
        <v>173</v>
      </c>
      <c r="B143" s="4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3" t="s">
        <v>174</v>
      </c>
      <c r="B144" s="4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false" outlineLevel="0" collapsed="false">
      <c r="A145" s="3" t="s">
        <v>175</v>
      </c>
      <c r="B145" s="4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3" t="s">
        <v>176</v>
      </c>
      <c r="B146" s="4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false" outlineLevel="0" collapsed="false">
      <c r="A147" s="3" t="s">
        <v>177</v>
      </c>
      <c r="B147" s="4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3" t="s">
        <v>178</v>
      </c>
      <c r="B148" s="4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false" outlineLevel="0" collapsed="false">
      <c r="A149" s="3" t="s">
        <v>179</v>
      </c>
      <c r="B149" s="4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3" t="s">
        <v>180</v>
      </c>
      <c r="B150" s="4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false" outlineLevel="0" collapsed="false">
      <c r="A151" s="3" t="s">
        <v>181</v>
      </c>
      <c r="B151" s="4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3" t="s">
        <v>182</v>
      </c>
      <c r="B152" s="4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false" outlineLevel="0" collapsed="false">
      <c r="A153" s="3" t="s">
        <v>183</v>
      </c>
      <c r="B153" s="4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3" t="s">
        <v>184</v>
      </c>
      <c r="B154" s="4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false" outlineLevel="0" collapsed="false">
      <c r="A155" s="3" t="s">
        <v>185</v>
      </c>
      <c r="B155" s="4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false" outlineLevel="0" collapsed="false">
      <c r="A156" s="3" t="s">
        <v>186</v>
      </c>
      <c r="B156" s="4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false" outlineLevel="0" collapsed="false">
      <c r="A157" s="3" t="s">
        <v>187</v>
      </c>
      <c r="B157" s="4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3" t="s">
        <v>188</v>
      </c>
      <c r="B158" s="4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false" outlineLevel="0" collapsed="false">
      <c r="A159" s="3" t="s">
        <v>189</v>
      </c>
      <c r="B159" s="4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3" t="s">
        <v>190</v>
      </c>
      <c r="B160" s="4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false" outlineLevel="0" collapsed="false">
      <c r="A161" s="3" t="s">
        <v>191</v>
      </c>
      <c r="B161" s="4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3" t="s">
        <v>192</v>
      </c>
      <c r="B162" s="4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false" outlineLevel="0" collapsed="false">
      <c r="A163" s="3" t="s">
        <v>193</v>
      </c>
      <c r="B163" s="4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false" outlineLevel="0" collapsed="false">
      <c r="A164" s="3" t="s">
        <v>194</v>
      </c>
      <c r="B164" s="4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false" outlineLevel="0" collapsed="false">
      <c r="A165" s="3" t="s">
        <v>195</v>
      </c>
      <c r="B165" s="4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3" t="s">
        <v>196</v>
      </c>
      <c r="B166" s="4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false" outlineLevel="0" collapsed="false">
      <c r="A167" s="3" t="s">
        <v>197</v>
      </c>
      <c r="B167" s="4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3" t="s">
        <v>198</v>
      </c>
      <c r="B168" s="4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false" outlineLevel="0" collapsed="false">
      <c r="A169" s="3" t="s">
        <v>199</v>
      </c>
      <c r="B169" s="4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false" outlineLevel="0" collapsed="false">
      <c r="A170" s="3" t="s">
        <v>200</v>
      </c>
      <c r="B170" s="4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false" outlineLevel="0" collapsed="false">
      <c r="A171" s="3" t="s">
        <v>201</v>
      </c>
      <c r="B171" s="4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3" t="s">
        <v>202</v>
      </c>
      <c r="B172" s="4" t="n">
        <v>45806</v>
      </c>
      <c r="C172" s="3" t="s">
        <v>17</v>
      </c>
      <c r="D172" s="3" t="s">
        <v>28</v>
      </c>
      <c r="E172" s="3" t="s">
        <v>1485</v>
      </c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false" outlineLevel="0" collapsed="false">
      <c r="A173" s="3" t="s">
        <v>203</v>
      </c>
      <c r="B173" s="4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3" t="s">
        <v>204</v>
      </c>
      <c r="B174" s="4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false" outlineLevel="0" collapsed="false">
      <c r="A175" s="3" t="s">
        <v>205</v>
      </c>
      <c r="B175" s="4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3" t="s">
        <v>206</v>
      </c>
      <c r="B176" s="4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false" outlineLevel="0" collapsed="false">
      <c r="A177" s="3" t="s">
        <v>207</v>
      </c>
      <c r="B177" s="4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3" t="s">
        <v>208</v>
      </c>
      <c r="B178" s="4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false" outlineLevel="0" collapsed="false">
      <c r="A179" s="3" t="s">
        <v>209</v>
      </c>
      <c r="B179" s="4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3" t="s">
        <v>210</v>
      </c>
      <c r="B180" s="4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false" outlineLevel="0" collapsed="false">
      <c r="A181" s="3" t="s">
        <v>211</v>
      </c>
      <c r="B181" s="4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3" t="s">
        <v>212</v>
      </c>
      <c r="B182" s="4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false" outlineLevel="0" collapsed="false">
      <c r="A183" s="3" t="s">
        <v>213</v>
      </c>
      <c r="B183" s="4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3" t="s">
        <v>214</v>
      </c>
      <c r="B184" s="4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false" outlineLevel="0" collapsed="false">
      <c r="A185" s="3" t="s">
        <v>215</v>
      </c>
      <c r="B185" s="4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3" t="s">
        <v>216</v>
      </c>
      <c r="B186" s="4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false" outlineLevel="0" collapsed="false">
      <c r="A187" s="3" t="s">
        <v>217</v>
      </c>
      <c r="B187" s="4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3" t="s">
        <v>218</v>
      </c>
      <c r="B188" s="4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false" outlineLevel="0" collapsed="false">
      <c r="A189" s="3" t="s">
        <v>219</v>
      </c>
      <c r="B189" s="4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3" t="s">
        <v>220</v>
      </c>
      <c r="B190" s="4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false" outlineLevel="0" collapsed="false">
      <c r="A191" s="3" t="s">
        <v>221</v>
      </c>
      <c r="B191" s="4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3" t="s">
        <v>222</v>
      </c>
      <c r="B192" s="4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false" outlineLevel="0" collapsed="false">
      <c r="A193" s="3" t="s">
        <v>223</v>
      </c>
      <c r="B193" s="4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3" t="s">
        <v>224</v>
      </c>
      <c r="B194" s="4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false" outlineLevel="0" collapsed="false">
      <c r="A195" s="3" t="s">
        <v>225</v>
      </c>
      <c r="B195" s="4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3" t="s">
        <v>226</v>
      </c>
      <c r="B196" s="4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false" outlineLevel="0" collapsed="false">
      <c r="A197" s="3" t="s">
        <v>227</v>
      </c>
      <c r="B197" s="4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3" t="s">
        <v>228</v>
      </c>
      <c r="B198" s="4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false" outlineLevel="0" collapsed="false">
      <c r="A199" s="3" t="s">
        <v>229</v>
      </c>
      <c r="B199" s="4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3" t="s">
        <v>230</v>
      </c>
      <c r="B200" s="4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false" outlineLevel="0" collapsed="false">
      <c r="A201" s="3" t="s">
        <v>231</v>
      </c>
      <c r="B201" s="4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3" t="s">
        <v>232</v>
      </c>
      <c r="B202" s="4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false" outlineLevel="0" collapsed="false">
      <c r="A203" s="3" t="s">
        <v>233</v>
      </c>
      <c r="B203" s="4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3" t="s">
        <v>234</v>
      </c>
      <c r="B204" s="4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false" outlineLevel="0" collapsed="false">
      <c r="A205" s="3" t="s">
        <v>235</v>
      </c>
      <c r="B205" s="4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3" t="s">
        <v>236</v>
      </c>
      <c r="B206" s="4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false" outlineLevel="0" collapsed="false">
      <c r="A207" s="3" t="s">
        <v>237</v>
      </c>
      <c r="B207" s="4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3" t="s">
        <v>238</v>
      </c>
      <c r="B208" s="4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false" outlineLevel="0" collapsed="false">
      <c r="A209" s="3" t="s">
        <v>239</v>
      </c>
      <c r="B209" s="4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3" t="s">
        <v>240</v>
      </c>
      <c r="B210" s="4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false" outlineLevel="0" collapsed="false">
      <c r="A211" s="3" t="s">
        <v>241</v>
      </c>
      <c r="B211" s="4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3" t="s">
        <v>242</v>
      </c>
      <c r="B212" s="4" t="n">
        <v>45739</v>
      </c>
      <c r="C212" s="3" t="s">
        <v>17</v>
      </c>
      <c r="D212" s="3" t="s">
        <v>28</v>
      </c>
      <c r="E212" s="3" t="s">
        <v>1485</v>
      </c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false" outlineLevel="0" collapsed="false">
      <c r="A213" s="3" t="s">
        <v>243</v>
      </c>
      <c r="B213" s="4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3" t="s">
        <v>244</v>
      </c>
      <c r="B214" s="4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false" outlineLevel="0" collapsed="false">
      <c r="A215" s="3" t="s">
        <v>245</v>
      </c>
      <c r="B215" s="4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3" t="s">
        <v>246</v>
      </c>
      <c r="B216" s="4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false" outlineLevel="0" collapsed="false">
      <c r="A217" s="3" t="s">
        <v>247</v>
      </c>
      <c r="B217" s="4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3" t="s">
        <v>248</v>
      </c>
      <c r="B218" s="4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false" outlineLevel="0" collapsed="false">
      <c r="A219" s="3" t="s">
        <v>249</v>
      </c>
      <c r="B219" s="4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false" outlineLevel="0" collapsed="false">
      <c r="A220" s="3" t="s">
        <v>250</v>
      </c>
      <c r="B220" s="4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false" outlineLevel="0" collapsed="false">
      <c r="A221" s="3" t="s">
        <v>251</v>
      </c>
      <c r="B221" s="4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3" t="s">
        <v>252</v>
      </c>
      <c r="B222" s="4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false" outlineLevel="0" collapsed="false">
      <c r="A223" s="3" t="s">
        <v>253</v>
      </c>
      <c r="B223" s="4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3" t="s">
        <v>254</v>
      </c>
      <c r="B224" s="4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false" outlineLevel="0" collapsed="false">
      <c r="A225" s="3" t="s">
        <v>255</v>
      </c>
      <c r="B225" s="4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3" t="s">
        <v>256</v>
      </c>
      <c r="B226" s="4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false" outlineLevel="0" collapsed="false">
      <c r="A227" s="3" t="s">
        <v>257</v>
      </c>
      <c r="B227" s="4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3" t="s">
        <v>258</v>
      </c>
      <c r="B228" s="4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false" outlineLevel="0" collapsed="false">
      <c r="A229" s="3" t="s">
        <v>259</v>
      </c>
      <c r="B229" s="4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3" t="s">
        <v>260</v>
      </c>
      <c r="B230" s="4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false" outlineLevel="0" collapsed="false">
      <c r="A231" s="3" t="s">
        <v>261</v>
      </c>
      <c r="B231" s="4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3" t="s">
        <v>262</v>
      </c>
      <c r="B232" s="4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false" outlineLevel="0" collapsed="false">
      <c r="A233" s="3" t="s">
        <v>263</v>
      </c>
      <c r="B233" s="4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3" t="s">
        <v>264</v>
      </c>
      <c r="B234" s="4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false" outlineLevel="0" collapsed="false">
      <c r="A235" s="3" t="s">
        <v>265</v>
      </c>
      <c r="B235" s="4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3" t="s">
        <v>266</v>
      </c>
      <c r="B236" s="4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false" outlineLevel="0" collapsed="false">
      <c r="A237" s="3" t="s">
        <v>267</v>
      </c>
      <c r="B237" s="4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3" t="s">
        <v>268</v>
      </c>
      <c r="B238" s="4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false" outlineLevel="0" collapsed="false">
      <c r="A239" s="3" t="s">
        <v>269</v>
      </c>
      <c r="B239" s="4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3" t="s">
        <v>270</v>
      </c>
      <c r="B240" s="4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false" outlineLevel="0" collapsed="false">
      <c r="A241" s="3" t="s">
        <v>271</v>
      </c>
      <c r="B241" s="4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3" t="s">
        <v>272</v>
      </c>
      <c r="B242" s="4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false" outlineLevel="0" collapsed="false">
      <c r="A243" s="3" t="s">
        <v>273</v>
      </c>
      <c r="B243" s="4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3" t="s">
        <v>274</v>
      </c>
      <c r="B244" s="4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false" outlineLevel="0" collapsed="false">
      <c r="A245" s="3" t="s">
        <v>275</v>
      </c>
      <c r="B245" s="4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3" t="s">
        <v>276</v>
      </c>
      <c r="B246" s="4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false" outlineLevel="0" collapsed="false">
      <c r="A247" s="3" t="s">
        <v>277</v>
      </c>
      <c r="B247" s="4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3" t="s">
        <v>278</v>
      </c>
      <c r="B248" s="4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false" outlineLevel="0" collapsed="false">
      <c r="A249" s="3" t="s">
        <v>279</v>
      </c>
      <c r="B249" s="4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3" t="s">
        <v>280</v>
      </c>
      <c r="B250" s="4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false" outlineLevel="0" collapsed="false">
      <c r="A251" s="3" t="s">
        <v>281</v>
      </c>
      <c r="B251" s="4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3" t="s">
        <v>282</v>
      </c>
      <c r="B252" s="4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false" outlineLevel="0" collapsed="false">
      <c r="A253" s="3" t="s">
        <v>283</v>
      </c>
      <c r="B253" s="4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3" t="s">
        <v>284</v>
      </c>
      <c r="B254" s="4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false" outlineLevel="0" collapsed="false">
      <c r="A255" s="3" t="s">
        <v>285</v>
      </c>
      <c r="B255" s="4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3" t="s">
        <v>286</v>
      </c>
      <c r="B256" s="4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false" outlineLevel="0" collapsed="false">
      <c r="A257" s="3" t="s">
        <v>287</v>
      </c>
      <c r="B257" s="4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3" t="s">
        <v>288</v>
      </c>
      <c r="B258" s="4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false" outlineLevel="0" collapsed="false">
      <c r="A259" s="3" t="s">
        <v>289</v>
      </c>
      <c r="B259" s="4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3" t="s">
        <v>290</v>
      </c>
      <c r="B260" s="4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false" outlineLevel="0" collapsed="false">
      <c r="A261" s="3" t="s">
        <v>291</v>
      </c>
      <c r="B261" s="4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3" t="s">
        <v>292</v>
      </c>
      <c r="B262" s="4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false" outlineLevel="0" collapsed="false">
      <c r="A263" s="3" t="s">
        <v>293</v>
      </c>
      <c r="B263" s="4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3" t="s">
        <v>294</v>
      </c>
      <c r="B264" s="4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false" outlineLevel="0" collapsed="false">
      <c r="A265" s="3" t="s">
        <v>295</v>
      </c>
      <c r="B265" s="4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3" t="s">
        <v>296</v>
      </c>
      <c r="B266" s="4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false" outlineLevel="0" collapsed="false">
      <c r="A267" s="3" t="s">
        <v>297</v>
      </c>
      <c r="B267" s="4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3" t="s">
        <v>298</v>
      </c>
      <c r="B268" s="4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false" outlineLevel="0" collapsed="false">
      <c r="A269" s="3" t="s">
        <v>299</v>
      </c>
      <c r="B269" s="4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3" t="s">
        <v>300</v>
      </c>
      <c r="B270" s="4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false" outlineLevel="0" collapsed="false">
      <c r="A271" s="3" t="s">
        <v>301</v>
      </c>
      <c r="B271" s="4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3" t="s">
        <v>302</v>
      </c>
      <c r="B272" s="4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false" outlineLevel="0" collapsed="false">
      <c r="A273" s="3" t="s">
        <v>303</v>
      </c>
      <c r="B273" s="4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3" t="s">
        <v>304</v>
      </c>
      <c r="B274" s="4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false" outlineLevel="0" collapsed="false">
      <c r="A275" s="3" t="s">
        <v>305</v>
      </c>
      <c r="B275" s="4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3" t="s">
        <v>306</v>
      </c>
      <c r="B276" s="4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false" outlineLevel="0" collapsed="false">
      <c r="A277" s="3" t="s">
        <v>307</v>
      </c>
      <c r="B277" s="4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3" t="s">
        <v>308</v>
      </c>
      <c r="B278" s="4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false" outlineLevel="0" collapsed="false">
      <c r="A279" s="3" t="s">
        <v>309</v>
      </c>
      <c r="B279" s="4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3" t="s">
        <v>310</v>
      </c>
      <c r="B280" s="4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false" outlineLevel="0" collapsed="false">
      <c r="A281" s="3" t="s">
        <v>311</v>
      </c>
      <c r="B281" s="4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3" t="s">
        <v>312</v>
      </c>
      <c r="B282" s="4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false" outlineLevel="0" collapsed="false">
      <c r="A283" s="3" t="s">
        <v>313</v>
      </c>
      <c r="B283" s="4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3" t="s">
        <v>314</v>
      </c>
      <c r="B284" s="4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false" outlineLevel="0" collapsed="false">
      <c r="A285" s="3" t="s">
        <v>315</v>
      </c>
      <c r="B285" s="4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3" t="s">
        <v>316</v>
      </c>
      <c r="B286" s="4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false" outlineLevel="0" collapsed="false">
      <c r="A287" s="3" t="s">
        <v>317</v>
      </c>
      <c r="B287" s="4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3" t="s">
        <v>318</v>
      </c>
      <c r="B288" s="4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false" outlineLevel="0" collapsed="false">
      <c r="A289" s="3" t="s">
        <v>319</v>
      </c>
      <c r="B289" s="4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3" t="s">
        <v>320</v>
      </c>
      <c r="B290" s="4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false" outlineLevel="0" collapsed="false">
      <c r="A291" s="3" t="s">
        <v>321</v>
      </c>
      <c r="B291" s="4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3" t="s">
        <v>322</v>
      </c>
      <c r="B292" s="4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false" outlineLevel="0" collapsed="false">
      <c r="A293" s="3" t="s">
        <v>323</v>
      </c>
      <c r="B293" s="4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3" t="s">
        <v>324</v>
      </c>
      <c r="B294" s="4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false" outlineLevel="0" collapsed="false">
      <c r="A295" s="3" t="s">
        <v>325</v>
      </c>
      <c r="B295" s="4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3" t="s">
        <v>326</v>
      </c>
      <c r="B296" s="4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false" outlineLevel="0" collapsed="false">
      <c r="A297" s="3" t="s">
        <v>327</v>
      </c>
      <c r="B297" s="4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3" t="s">
        <v>328</v>
      </c>
      <c r="B298" s="4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false" outlineLevel="0" collapsed="false">
      <c r="A299" s="3" t="s">
        <v>329</v>
      </c>
      <c r="B299" s="4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3" t="s">
        <v>330</v>
      </c>
      <c r="B300" s="4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false" outlineLevel="0" collapsed="false">
      <c r="A301" s="3" t="s">
        <v>331</v>
      </c>
      <c r="B301" s="4" t="n">
        <v>45681</v>
      </c>
      <c r="C301" s="3" t="s">
        <v>17</v>
      </c>
      <c r="D301" s="3" t="s">
        <v>32</v>
      </c>
      <c r="E301" s="3" t="s">
        <v>24</v>
      </c>
      <c r="F301" s="3" t="s">
        <v>1485</v>
      </c>
      <c r="G301" s="3" t="s">
        <v>21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3" t="s">
        <v>332</v>
      </c>
      <c r="B302" s="4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false" outlineLevel="0" collapsed="false">
      <c r="A303" s="3" t="s">
        <v>333</v>
      </c>
      <c r="B303" s="4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3" t="s">
        <v>334</v>
      </c>
      <c r="B304" s="4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false" outlineLevel="0" collapsed="false">
      <c r="A305" s="3" t="s">
        <v>335</v>
      </c>
      <c r="B305" s="4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3" t="s">
        <v>336</v>
      </c>
      <c r="B306" s="4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false" outlineLevel="0" collapsed="false">
      <c r="A307" s="3" t="s">
        <v>337</v>
      </c>
      <c r="B307" s="4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3" t="s">
        <v>338</v>
      </c>
      <c r="B308" s="4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false" outlineLevel="0" collapsed="false">
      <c r="A309" s="3" t="s">
        <v>339</v>
      </c>
      <c r="B309" s="4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3" t="s">
        <v>340</v>
      </c>
      <c r="B310" s="4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false" outlineLevel="0" collapsed="false">
      <c r="A311" s="3" t="s">
        <v>341</v>
      </c>
      <c r="B311" s="4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3" t="s">
        <v>342</v>
      </c>
      <c r="B312" s="4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false" outlineLevel="0" collapsed="false">
      <c r="A313" s="3" t="s">
        <v>343</v>
      </c>
      <c r="B313" s="4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3" t="s">
        <v>344</v>
      </c>
      <c r="B314" s="4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false" outlineLevel="0" collapsed="false">
      <c r="A315" s="3" t="s">
        <v>345</v>
      </c>
      <c r="B315" s="4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3" t="s">
        <v>346</v>
      </c>
      <c r="B316" s="4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false" outlineLevel="0" collapsed="false">
      <c r="A317" s="3" t="s">
        <v>347</v>
      </c>
      <c r="B317" s="4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3" t="s">
        <v>348</v>
      </c>
      <c r="B318" s="4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false" outlineLevel="0" collapsed="false">
      <c r="A319" s="3" t="s">
        <v>349</v>
      </c>
      <c r="B319" s="4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3" t="s">
        <v>350</v>
      </c>
      <c r="B320" s="4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false" outlineLevel="0" collapsed="false">
      <c r="A321" s="3" t="s">
        <v>351</v>
      </c>
      <c r="B321" s="4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3" t="s">
        <v>352</v>
      </c>
      <c r="B322" s="4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false" outlineLevel="0" collapsed="false">
      <c r="A323" s="3" t="s">
        <v>353</v>
      </c>
      <c r="B323" s="4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3" t="s">
        <v>354</v>
      </c>
      <c r="B324" s="4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false" outlineLevel="0" collapsed="false">
      <c r="A325" s="3" t="s">
        <v>355</v>
      </c>
      <c r="B325" s="4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3" t="s">
        <v>356</v>
      </c>
      <c r="B326" s="4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false" outlineLevel="0" collapsed="false">
      <c r="A327" s="3" t="s">
        <v>357</v>
      </c>
      <c r="B327" s="4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3" t="s">
        <v>358</v>
      </c>
      <c r="B328" s="4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false" outlineLevel="0" collapsed="false">
      <c r="A329" s="3" t="s">
        <v>359</v>
      </c>
      <c r="B329" s="4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3" t="s">
        <v>360</v>
      </c>
      <c r="B330" s="4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false" outlineLevel="0" collapsed="false">
      <c r="A331" s="3" t="s">
        <v>361</v>
      </c>
      <c r="B331" s="4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3" t="s">
        <v>362</v>
      </c>
      <c r="B332" s="4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false" outlineLevel="0" collapsed="false">
      <c r="A333" s="3" t="s">
        <v>363</v>
      </c>
      <c r="B333" s="4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3" t="s">
        <v>364</v>
      </c>
      <c r="B334" s="4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false" outlineLevel="0" collapsed="false">
      <c r="A335" s="3" t="s">
        <v>365</v>
      </c>
      <c r="B335" s="4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3" t="s">
        <v>366</v>
      </c>
      <c r="B336" s="4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false" outlineLevel="0" collapsed="false">
      <c r="A337" s="3" t="s">
        <v>367</v>
      </c>
      <c r="B337" s="4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3" t="s">
        <v>368</v>
      </c>
      <c r="B338" s="4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false" outlineLevel="0" collapsed="false">
      <c r="A339" s="3" t="s">
        <v>369</v>
      </c>
      <c r="B339" s="4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3" t="s">
        <v>370</v>
      </c>
      <c r="B340" s="4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false" outlineLevel="0" collapsed="false">
      <c r="A341" s="3" t="s">
        <v>371</v>
      </c>
      <c r="B341" s="4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3" t="s">
        <v>372</v>
      </c>
      <c r="B342" s="4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false" outlineLevel="0" collapsed="false">
      <c r="A343" s="3" t="s">
        <v>373</v>
      </c>
      <c r="B343" s="4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3" t="s">
        <v>374</v>
      </c>
      <c r="B344" s="4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false" outlineLevel="0" collapsed="false">
      <c r="A345" s="3" t="s">
        <v>375</v>
      </c>
      <c r="B345" s="4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3" t="s">
        <v>376</v>
      </c>
      <c r="B346" s="4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false" outlineLevel="0" collapsed="false">
      <c r="A347" s="3" t="s">
        <v>377</v>
      </c>
      <c r="B347" s="4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3" t="s">
        <v>378</v>
      </c>
      <c r="B348" s="4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false" outlineLevel="0" collapsed="false">
      <c r="A349" s="3" t="s">
        <v>379</v>
      </c>
      <c r="B349" s="4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3" t="s">
        <v>380</v>
      </c>
      <c r="B350" s="4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false" outlineLevel="0" collapsed="false">
      <c r="A351" s="3" t="s">
        <v>381</v>
      </c>
      <c r="B351" s="4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3" t="s">
        <v>382</v>
      </c>
      <c r="B352" s="4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false" outlineLevel="0" collapsed="false">
      <c r="A353" s="3" t="s">
        <v>383</v>
      </c>
      <c r="B353" s="4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3" t="s">
        <v>384</v>
      </c>
      <c r="B354" s="4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false" outlineLevel="0" collapsed="false">
      <c r="A355" s="3" t="s">
        <v>385</v>
      </c>
      <c r="B355" s="4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3" t="s">
        <v>386</v>
      </c>
      <c r="B356" s="4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false" outlineLevel="0" collapsed="false">
      <c r="A357" s="3" t="s">
        <v>387</v>
      </c>
      <c r="B357" s="4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3" t="s">
        <v>388</v>
      </c>
      <c r="B358" s="4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false" outlineLevel="0" collapsed="false">
      <c r="A359" s="3" t="s">
        <v>389</v>
      </c>
      <c r="B359" s="4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3" t="s">
        <v>390</v>
      </c>
      <c r="B360" s="4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false" outlineLevel="0" collapsed="false">
      <c r="A361" s="3" t="s">
        <v>391</v>
      </c>
      <c r="B361" s="4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3" t="s">
        <v>392</v>
      </c>
      <c r="B362" s="4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false" outlineLevel="0" collapsed="false">
      <c r="A363" s="3" t="s">
        <v>393</v>
      </c>
      <c r="B363" s="4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3" t="s">
        <v>394</v>
      </c>
      <c r="B364" s="4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false" outlineLevel="0" collapsed="false">
      <c r="A365" s="3" t="s">
        <v>395</v>
      </c>
      <c r="B365" s="4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3" t="s">
        <v>396</v>
      </c>
      <c r="B366" s="4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false" outlineLevel="0" collapsed="false">
      <c r="A367" s="3" t="s">
        <v>397</v>
      </c>
      <c r="B367" s="4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3" t="s">
        <v>398</v>
      </c>
      <c r="B368" s="4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false" outlineLevel="0" collapsed="false">
      <c r="A369" s="3" t="s">
        <v>399</v>
      </c>
      <c r="B369" s="4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3" t="s">
        <v>400</v>
      </c>
      <c r="B370" s="4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false" outlineLevel="0" collapsed="false">
      <c r="A371" s="3" t="s">
        <v>401</v>
      </c>
      <c r="B371" s="4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3" t="s">
        <v>402</v>
      </c>
      <c r="B372" s="4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false" outlineLevel="0" collapsed="false">
      <c r="A373" s="3" t="s">
        <v>403</v>
      </c>
      <c r="B373" s="4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3" t="s">
        <v>404</v>
      </c>
      <c r="B374" s="4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false" outlineLevel="0" collapsed="false">
      <c r="A375" s="3" t="s">
        <v>405</v>
      </c>
      <c r="B375" s="4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3" t="s">
        <v>406</v>
      </c>
      <c r="B376" s="4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false" outlineLevel="0" collapsed="false">
      <c r="A377" s="3" t="s">
        <v>407</v>
      </c>
      <c r="B377" s="4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3" t="s">
        <v>408</v>
      </c>
      <c r="B378" s="4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false" outlineLevel="0" collapsed="false">
      <c r="A379" s="3" t="s">
        <v>409</v>
      </c>
      <c r="B379" s="4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3" t="s">
        <v>410</v>
      </c>
      <c r="B380" s="4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false" outlineLevel="0" collapsed="false">
      <c r="A381" s="3" t="s">
        <v>411</v>
      </c>
      <c r="B381" s="4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3" t="s">
        <v>412</v>
      </c>
      <c r="B382" s="4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false" outlineLevel="0" collapsed="false">
      <c r="A383" s="3" t="s">
        <v>413</v>
      </c>
      <c r="B383" s="4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3" t="s">
        <v>414</v>
      </c>
      <c r="B384" s="4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false" outlineLevel="0" collapsed="false">
      <c r="A385" s="3" t="s">
        <v>415</v>
      </c>
      <c r="B385" s="4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3" t="s">
        <v>416</v>
      </c>
      <c r="B386" s="4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false" outlineLevel="0" collapsed="false">
      <c r="A387" s="3" t="s">
        <v>417</v>
      </c>
      <c r="B387" s="4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3" t="s">
        <v>418</v>
      </c>
      <c r="B388" s="4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false" outlineLevel="0" collapsed="false">
      <c r="A389" s="3" t="s">
        <v>419</v>
      </c>
      <c r="B389" s="4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3" t="s">
        <v>420</v>
      </c>
      <c r="B390" s="4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false" outlineLevel="0" collapsed="false">
      <c r="A391" s="3" t="s">
        <v>421</v>
      </c>
      <c r="B391" s="4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3" t="s">
        <v>422</v>
      </c>
      <c r="B392" s="4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false" outlineLevel="0" collapsed="false">
      <c r="A393" s="3" t="s">
        <v>423</v>
      </c>
      <c r="B393" s="4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3" t="s">
        <v>424</v>
      </c>
      <c r="B394" s="4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false" outlineLevel="0" collapsed="false">
      <c r="A395" s="3" t="s">
        <v>425</v>
      </c>
      <c r="B395" s="4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3" t="s">
        <v>426</v>
      </c>
      <c r="B396" s="4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false" outlineLevel="0" collapsed="false">
      <c r="A397" s="3" t="s">
        <v>427</v>
      </c>
      <c r="B397" s="4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3" t="s">
        <v>428</v>
      </c>
      <c r="B398" s="4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false" outlineLevel="0" collapsed="false">
      <c r="A399" s="3" t="s">
        <v>429</v>
      </c>
      <c r="B399" s="4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3" t="s">
        <v>430</v>
      </c>
      <c r="B400" s="4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false" outlineLevel="0" collapsed="false">
      <c r="A401" s="3" t="s">
        <v>431</v>
      </c>
      <c r="B401" s="4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3" t="s">
        <v>432</v>
      </c>
      <c r="B402" s="4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false" outlineLevel="0" collapsed="false">
      <c r="A403" s="3" t="s">
        <v>433</v>
      </c>
      <c r="B403" s="4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3" t="s">
        <v>434</v>
      </c>
      <c r="B404" s="4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false" outlineLevel="0" collapsed="false">
      <c r="A405" s="3" t="s">
        <v>435</v>
      </c>
      <c r="B405" s="4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3" t="s">
        <v>436</v>
      </c>
      <c r="B406" s="4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false" outlineLevel="0" collapsed="false">
      <c r="A407" s="3" t="s">
        <v>437</v>
      </c>
      <c r="B407" s="4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3" t="s">
        <v>438</v>
      </c>
      <c r="B408" s="4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false" outlineLevel="0" collapsed="false">
      <c r="A409" s="3" t="s">
        <v>439</v>
      </c>
      <c r="B409" s="4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3" t="s">
        <v>440</v>
      </c>
      <c r="B410" s="4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false" outlineLevel="0" collapsed="false">
      <c r="A411" s="3" t="s">
        <v>441</v>
      </c>
      <c r="B411" s="4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3" t="s">
        <v>442</v>
      </c>
      <c r="B412" s="4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false" outlineLevel="0" collapsed="false">
      <c r="A413" s="3" t="s">
        <v>443</v>
      </c>
      <c r="B413" s="4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3" t="s">
        <v>444</v>
      </c>
      <c r="B414" s="4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false" outlineLevel="0" collapsed="false">
      <c r="A415" s="3" t="s">
        <v>445</v>
      </c>
      <c r="B415" s="4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3" t="s">
        <v>446</v>
      </c>
      <c r="B416" s="4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false" outlineLevel="0" collapsed="false">
      <c r="A417" s="3" t="s">
        <v>447</v>
      </c>
      <c r="B417" s="4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3" t="s">
        <v>448</v>
      </c>
      <c r="B418" s="4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false" outlineLevel="0" collapsed="false">
      <c r="A419" s="3" t="s">
        <v>449</v>
      </c>
      <c r="B419" s="4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3" t="s">
        <v>450</v>
      </c>
      <c r="B420" s="4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false" outlineLevel="0" collapsed="false">
      <c r="A421" s="3" t="s">
        <v>451</v>
      </c>
      <c r="B421" s="4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3" t="s">
        <v>452</v>
      </c>
      <c r="B422" s="4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false" outlineLevel="0" collapsed="false">
      <c r="A423" s="3" t="s">
        <v>453</v>
      </c>
      <c r="B423" s="4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3" t="s">
        <v>454</v>
      </c>
      <c r="B424" s="4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false" outlineLevel="0" collapsed="false">
      <c r="A425" s="3" t="s">
        <v>455</v>
      </c>
      <c r="B425" s="4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3" t="s">
        <v>456</v>
      </c>
      <c r="B426" s="4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false" outlineLevel="0" collapsed="false">
      <c r="A427" s="3" t="s">
        <v>457</v>
      </c>
      <c r="B427" s="4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3" t="s">
        <v>458</v>
      </c>
      <c r="B428" s="4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false" outlineLevel="0" collapsed="false">
      <c r="A429" s="3" t="s">
        <v>459</v>
      </c>
      <c r="B429" s="4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3" t="s">
        <v>460</v>
      </c>
      <c r="B430" s="4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false" outlineLevel="0" collapsed="false">
      <c r="A431" s="3" t="s">
        <v>461</v>
      </c>
      <c r="B431" s="4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3" t="s">
        <v>462</v>
      </c>
      <c r="B432" s="4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false" outlineLevel="0" collapsed="false">
      <c r="A433" s="3" t="s">
        <v>463</v>
      </c>
      <c r="B433" s="4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3" t="s">
        <v>464</v>
      </c>
      <c r="B434" s="4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false" outlineLevel="0" collapsed="false">
      <c r="A435" s="3" t="s">
        <v>465</v>
      </c>
      <c r="B435" s="4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3" t="s">
        <v>466</v>
      </c>
      <c r="B436" s="4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false" outlineLevel="0" collapsed="false">
      <c r="A437" s="3" t="s">
        <v>467</v>
      </c>
      <c r="B437" s="4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3" t="s">
        <v>468</v>
      </c>
      <c r="B438" s="4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false" outlineLevel="0" collapsed="false">
      <c r="A439" s="3" t="s">
        <v>469</v>
      </c>
      <c r="B439" s="4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3" t="s">
        <v>470</v>
      </c>
      <c r="B440" s="4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false" outlineLevel="0" collapsed="false">
      <c r="A441" s="3" t="s">
        <v>471</v>
      </c>
      <c r="B441" s="4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3" t="s">
        <v>472</v>
      </c>
      <c r="B442" s="4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false" outlineLevel="0" collapsed="false">
      <c r="A443" s="3" t="s">
        <v>473</v>
      </c>
      <c r="B443" s="4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3" t="s">
        <v>474</v>
      </c>
      <c r="B444" s="4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false" outlineLevel="0" collapsed="false">
      <c r="A445" s="3" t="s">
        <v>475</v>
      </c>
      <c r="B445" s="4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3" t="s">
        <v>476</v>
      </c>
      <c r="B446" s="4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false" outlineLevel="0" collapsed="false">
      <c r="A447" s="3" t="s">
        <v>477</v>
      </c>
      <c r="B447" s="4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3" t="s">
        <v>478</v>
      </c>
      <c r="B448" s="4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false" outlineLevel="0" collapsed="false">
      <c r="A449" s="3" t="s">
        <v>479</v>
      </c>
      <c r="B449" s="4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3" t="s">
        <v>480</v>
      </c>
      <c r="B450" s="4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false" outlineLevel="0" collapsed="false">
      <c r="A451" s="3" t="s">
        <v>481</v>
      </c>
      <c r="B451" s="4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3" t="s">
        <v>482</v>
      </c>
      <c r="B452" s="4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false" outlineLevel="0" collapsed="false">
      <c r="A453" s="3" t="s">
        <v>483</v>
      </c>
      <c r="B453" s="4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3" t="s">
        <v>484</v>
      </c>
      <c r="B454" s="4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false" outlineLevel="0" collapsed="false">
      <c r="A455" s="3" t="s">
        <v>485</v>
      </c>
      <c r="B455" s="4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3" t="s">
        <v>486</v>
      </c>
      <c r="B456" s="4" t="n">
        <v>45713</v>
      </c>
      <c r="C456" s="3" t="s">
        <v>17</v>
      </c>
      <c r="D456" s="3" t="s">
        <v>32</v>
      </c>
      <c r="E456" s="3" t="s">
        <v>34</v>
      </c>
      <c r="F456" s="3" t="s">
        <v>1485</v>
      </c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false" outlineLevel="0" collapsed="false">
      <c r="A457" s="3" t="s">
        <v>487</v>
      </c>
      <c r="B457" s="4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3" t="s">
        <v>488</v>
      </c>
      <c r="B458" s="4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false" outlineLevel="0" collapsed="false">
      <c r="A459" s="3" t="s">
        <v>489</v>
      </c>
      <c r="B459" s="4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3" t="s">
        <v>490</v>
      </c>
      <c r="B460" s="4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false" outlineLevel="0" collapsed="false">
      <c r="A461" s="3" t="s">
        <v>491</v>
      </c>
      <c r="B461" s="4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3" t="s">
        <v>492</v>
      </c>
      <c r="B462" s="4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false" outlineLevel="0" collapsed="false">
      <c r="A463" s="3" t="s">
        <v>493</v>
      </c>
      <c r="B463" s="4" t="n">
        <v>45796</v>
      </c>
      <c r="C463" s="3" t="s">
        <v>17</v>
      </c>
      <c r="D463" s="3" t="s">
        <v>18</v>
      </c>
      <c r="E463" s="3" t="s">
        <v>1485</v>
      </c>
      <c r="F463" s="3" t="s">
        <v>25</v>
      </c>
      <c r="G463" s="3" t="s">
        <v>21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3" t="s">
        <v>494</v>
      </c>
      <c r="B464" s="4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false" outlineLevel="0" collapsed="false">
      <c r="A465" s="3" t="s">
        <v>495</v>
      </c>
      <c r="B465" s="4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3" t="s">
        <v>496</v>
      </c>
      <c r="B466" s="4" t="n">
        <v>45759</v>
      </c>
      <c r="C466" s="3" t="s">
        <v>17</v>
      </c>
      <c r="D466" s="3" t="s">
        <v>18</v>
      </c>
      <c r="E466" s="3" t="s">
        <v>24</v>
      </c>
      <c r="F466" s="3" t="s">
        <v>1485</v>
      </c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false" outlineLevel="0" collapsed="false">
      <c r="A467" s="3" t="s">
        <v>497</v>
      </c>
      <c r="B467" s="4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3" t="s">
        <v>498</v>
      </c>
      <c r="B468" s="4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false" outlineLevel="0" collapsed="false">
      <c r="A469" s="3" t="s">
        <v>499</v>
      </c>
      <c r="B469" s="4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3" t="s">
        <v>500</v>
      </c>
      <c r="B470" s="4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false" outlineLevel="0" collapsed="false">
      <c r="A471" s="3" t="s">
        <v>501</v>
      </c>
      <c r="B471" s="4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3" t="s">
        <v>502</v>
      </c>
      <c r="B472" s="4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false" outlineLevel="0" collapsed="false">
      <c r="A473" s="3" t="s">
        <v>503</v>
      </c>
      <c r="B473" s="4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3" t="s">
        <v>504</v>
      </c>
      <c r="B474" s="4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false" outlineLevel="0" collapsed="false">
      <c r="A475" s="3" t="s">
        <v>505</v>
      </c>
      <c r="B475" s="4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3" t="s">
        <v>506</v>
      </c>
      <c r="B476" s="4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false" outlineLevel="0" collapsed="false">
      <c r="A477" s="3" t="s">
        <v>507</v>
      </c>
      <c r="B477" s="4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3" t="s">
        <v>508</v>
      </c>
      <c r="B478" s="4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false" outlineLevel="0" collapsed="false">
      <c r="A479" s="3" t="s">
        <v>509</v>
      </c>
      <c r="B479" s="4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3" t="s">
        <v>510</v>
      </c>
      <c r="B480" s="4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false" outlineLevel="0" collapsed="false">
      <c r="A481" s="3" t="s">
        <v>511</v>
      </c>
      <c r="B481" s="4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3" t="s">
        <v>512</v>
      </c>
      <c r="B482" s="4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false" outlineLevel="0" collapsed="false">
      <c r="A483" s="3" t="s">
        <v>513</v>
      </c>
      <c r="B483" s="4" t="n">
        <v>45701</v>
      </c>
      <c r="C483" s="3" t="s">
        <v>17</v>
      </c>
      <c r="D483" s="3" t="s">
        <v>18</v>
      </c>
      <c r="E483" s="3" t="s">
        <v>1485</v>
      </c>
      <c r="F483" s="3" t="s">
        <v>25</v>
      </c>
      <c r="G483" s="3" t="s">
        <v>21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3" t="s">
        <v>514</v>
      </c>
      <c r="B484" s="4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false" outlineLevel="0" collapsed="false">
      <c r="A485" s="3" t="s">
        <v>515</v>
      </c>
      <c r="B485" s="4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3" t="s">
        <v>516</v>
      </c>
      <c r="B486" s="4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false" outlineLevel="0" collapsed="false">
      <c r="A487" s="3" t="s">
        <v>517</v>
      </c>
      <c r="B487" s="4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3" t="s">
        <v>518</v>
      </c>
      <c r="B488" s="4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false" outlineLevel="0" collapsed="false">
      <c r="A489" s="3" t="s">
        <v>519</v>
      </c>
      <c r="B489" s="4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3" t="s">
        <v>520</v>
      </c>
      <c r="B490" s="4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false" outlineLevel="0" collapsed="false">
      <c r="A491" s="3" t="s">
        <v>521</v>
      </c>
      <c r="B491" s="4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3" t="s">
        <v>522</v>
      </c>
      <c r="B492" s="4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false" outlineLevel="0" collapsed="false">
      <c r="A493" s="3" t="s">
        <v>523</v>
      </c>
      <c r="B493" s="4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3" t="s">
        <v>524</v>
      </c>
      <c r="B494" s="4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false" outlineLevel="0" collapsed="false">
      <c r="A495" s="3" t="s">
        <v>525</v>
      </c>
      <c r="B495" s="4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3" t="s">
        <v>526</v>
      </c>
      <c r="B496" s="4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false" outlineLevel="0" collapsed="false">
      <c r="A497" s="3" t="s">
        <v>527</v>
      </c>
      <c r="B497" s="4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3" t="s">
        <v>528</v>
      </c>
      <c r="B498" s="4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false" outlineLevel="0" collapsed="false">
      <c r="A499" s="3" t="s">
        <v>529</v>
      </c>
      <c r="B499" s="4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3" t="s">
        <v>530</v>
      </c>
      <c r="B500" s="4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false" outlineLevel="0" collapsed="false">
      <c r="A501" s="3" t="s">
        <v>531</v>
      </c>
      <c r="B501" s="4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3" t="s">
        <v>532</v>
      </c>
      <c r="B502" s="4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false" outlineLevel="0" collapsed="false">
      <c r="A503" s="3" t="s">
        <v>533</v>
      </c>
      <c r="B503" s="4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3" t="s">
        <v>534</v>
      </c>
      <c r="B504" s="4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false" outlineLevel="0" collapsed="false">
      <c r="A505" s="3" t="s">
        <v>535</v>
      </c>
      <c r="B505" s="4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3" t="s">
        <v>536</v>
      </c>
      <c r="B506" s="4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false" outlineLevel="0" collapsed="false">
      <c r="A507" s="3" t="s">
        <v>537</v>
      </c>
      <c r="B507" s="4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3" t="s">
        <v>538</v>
      </c>
      <c r="B508" s="4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false" outlineLevel="0" collapsed="false">
      <c r="A509" s="3" t="s">
        <v>539</v>
      </c>
      <c r="B509" s="4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3" t="s">
        <v>540</v>
      </c>
      <c r="B510" s="4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false" outlineLevel="0" collapsed="false">
      <c r="A511" s="3" t="s">
        <v>541</v>
      </c>
      <c r="B511" s="4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3" t="s">
        <v>542</v>
      </c>
      <c r="B512" s="4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false" outlineLevel="0" collapsed="false">
      <c r="A513" s="3" t="s">
        <v>543</v>
      </c>
      <c r="B513" s="4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3" t="s">
        <v>544</v>
      </c>
      <c r="B514" s="4" t="n">
        <v>45701</v>
      </c>
      <c r="C514" s="3" t="s">
        <v>17</v>
      </c>
      <c r="D514" s="3" t="s">
        <v>32</v>
      </c>
      <c r="E514" s="3" t="s">
        <v>24</v>
      </c>
      <c r="F514" s="3" t="s">
        <v>1485</v>
      </c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false" outlineLevel="0" collapsed="false">
      <c r="A515" s="3" t="s">
        <v>545</v>
      </c>
      <c r="B515" s="4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3" t="s">
        <v>546</v>
      </c>
      <c r="B516" s="4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false" outlineLevel="0" collapsed="false">
      <c r="A517" s="3" t="s">
        <v>547</v>
      </c>
      <c r="B517" s="4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3" t="s">
        <v>548</v>
      </c>
      <c r="B518" s="4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false" outlineLevel="0" collapsed="false">
      <c r="A519" s="3" t="s">
        <v>549</v>
      </c>
      <c r="B519" s="4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3" t="s">
        <v>550</v>
      </c>
      <c r="B520" s="4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false" outlineLevel="0" collapsed="false">
      <c r="A521" s="3" t="s">
        <v>551</v>
      </c>
      <c r="B521" s="4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3" t="s">
        <v>552</v>
      </c>
      <c r="B522" s="4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false" outlineLevel="0" collapsed="false">
      <c r="A523" s="3" t="s">
        <v>553</v>
      </c>
      <c r="B523" s="4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3" t="s">
        <v>554</v>
      </c>
      <c r="B524" s="4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false" outlineLevel="0" collapsed="false">
      <c r="A525" s="3" t="s">
        <v>555</v>
      </c>
      <c r="B525" s="4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3" t="s">
        <v>556</v>
      </c>
      <c r="B526" s="4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false" outlineLevel="0" collapsed="false">
      <c r="A527" s="3" t="s">
        <v>557</v>
      </c>
      <c r="B527" s="4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3" t="s">
        <v>558</v>
      </c>
      <c r="B528" s="4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false" outlineLevel="0" collapsed="false">
      <c r="A529" s="3" t="s">
        <v>559</v>
      </c>
      <c r="B529" s="4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3" t="s">
        <v>560</v>
      </c>
      <c r="B530" s="4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false" outlineLevel="0" collapsed="false">
      <c r="A531" s="3" t="s">
        <v>561</v>
      </c>
      <c r="B531" s="4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3" t="s">
        <v>562</v>
      </c>
      <c r="B532" s="4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false" outlineLevel="0" collapsed="false">
      <c r="A533" s="3" t="s">
        <v>563</v>
      </c>
      <c r="B533" s="4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3" t="s">
        <v>564</v>
      </c>
      <c r="B534" s="4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false" outlineLevel="0" collapsed="false">
      <c r="A535" s="3" t="s">
        <v>565</v>
      </c>
      <c r="B535" s="4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3" t="s">
        <v>566</v>
      </c>
      <c r="B536" s="4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false" outlineLevel="0" collapsed="false">
      <c r="A537" s="3" t="s">
        <v>567</v>
      </c>
      <c r="B537" s="4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3" t="s">
        <v>568</v>
      </c>
      <c r="B538" s="4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false" outlineLevel="0" collapsed="false">
      <c r="A539" s="3" t="s">
        <v>569</v>
      </c>
      <c r="B539" s="4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3" t="s">
        <v>570</v>
      </c>
      <c r="B540" s="4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false" outlineLevel="0" collapsed="false">
      <c r="A541" s="3" t="s">
        <v>571</v>
      </c>
      <c r="B541" s="4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3" t="s">
        <v>572</v>
      </c>
      <c r="B542" s="4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false" outlineLevel="0" collapsed="false">
      <c r="A543" s="3" t="s">
        <v>573</v>
      </c>
      <c r="B543" s="4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3" t="s">
        <v>574</v>
      </c>
      <c r="B544" s="4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false" outlineLevel="0" collapsed="false">
      <c r="A545" s="3" t="s">
        <v>575</v>
      </c>
      <c r="B545" s="4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3" t="s">
        <v>576</v>
      </c>
      <c r="B546" s="4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false" outlineLevel="0" collapsed="false">
      <c r="A547" s="3" t="s">
        <v>577</v>
      </c>
      <c r="B547" s="4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3" t="s">
        <v>578</v>
      </c>
      <c r="B548" s="4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false" outlineLevel="0" collapsed="false">
      <c r="A549" s="3" t="s">
        <v>579</v>
      </c>
      <c r="B549" s="4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3" t="s">
        <v>580</v>
      </c>
      <c r="B550" s="4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false" outlineLevel="0" collapsed="false">
      <c r="A551" s="3" t="s">
        <v>581</v>
      </c>
      <c r="B551" s="4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3" t="s">
        <v>582</v>
      </c>
      <c r="B552" s="4" t="n">
        <v>45699</v>
      </c>
      <c r="C552" s="3" t="s">
        <v>17</v>
      </c>
      <c r="D552" s="3" t="s">
        <v>28</v>
      </c>
      <c r="E552" s="3" t="s">
        <v>1485</v>
      </c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false" outlineLevel="0" collapsed="false">
      <c r="A553" s="3" t="s">
        <v>583</v>
      </c>
      <c r="B553" s="4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3" t="s">
        <v>584</v>
      </c>
      <c r="B554" s="4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false" outlineLevel="0" collapsed="false">
      <c r="A555" s="3" t="s">
        <v>585</v>
      </c>
      <c r="B555" s="4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3" t="s">
        <v>586</v>
      </c>
      <c r="B556" s="4" t="n">
        <v>45699</v>
      </c>
      <c r="C556" s="3" t="s">
        <v>17</v>
      </c>
      <c r="D556" s="3" t="s">
        <v>32</v>
      </c>
      <c r="E556" s="3" t="s">
        <v>1485</v>
      </c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false" outlineLevel="0" collapsed="false">
      <c r="A557" s="3" t="s">
        <v>587</v>
      </c>
      <c r="B557" s="4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3" t="s">
        <v>588</v>
      </c>
      <c r="B558" s="4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false" outlineLevel="0" collapsed="false">
      <c r="A559" s="3" t="s">
        <v>589</v>
      </c>
      <c r="B559" s="4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3" t="s">
        <v>590</v>
      </c>
      <c r="B560" s="4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false" outlineLevel="0" collapsed="false">
      <c r="A561" s="3" t="s">
        <v>591</v>
      </c>
      <c r="B561" s="4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3" t="s">
        <v>592</v>
      </c>
      <c r="B562" s="4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false" outlineLevel="0" collapsed="false">
      <c r="A563" s="3" t="s">
        <v>593</v>
      </c>
      <c r="B563" s="4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3" t="s">
        <v>594</v>
      </c>
      <c r="B564" s="4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false" outlineLevel="0" collapsed="false">
      <c r="A565" s="3" t="s">
        <v>595</v>
      </c>
      <c r="B565" s="4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3" t="s">
        <v>596</v>
      </c>
      <c r="B566" s="4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false" outlineLevel="0" collapsed="false">
      <c r="A567" s="3" t="s">
        <v>597</v>
      </c>
      <c r="B567" s="4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3" t="s">
        <v>598</v>
      </c>
      <c r="B568" s="4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false" outlineLevel="0" collapsed="false">
      <c r="A569" s="3" t="s">
        <v>599</v>
      </c>
      <c r="B569" s="4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3" t="s">
        <v>600</v>
      </c>
      <c r="B570" s="4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false" outlineLevel="0" collapsed="false">
      <c r="A571" s="3" t="s">
        <v>601</v>
      </c>
      <c r="B571" s="4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3" t="s">
        <v>602</v>
      </c>
      <c r="B572" s="4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false" outlineLevel="0" collapsed="false">
      <c r="A573" s="3" t="s">
        <v>603</v>
      </c>
      <c r="B573" s="4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3" t="s">
        <v>604</v>
      </c>
      <c r="B574" s="4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false" outlineLevel="0" collapsed="false">
      <c r="A575" s="3" t="s">
        <v>605</v>
      </c>
      <c r="B575" s="4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3" t="s">
        <v>606</v>
      </c>
      <c r="B576" s="4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false" outlineLevel="0" collapsed="false">
      <c r="A577" s="3" t="s">
        <v>607</v>
      </c>
      <c r="B577" s="4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3" t="s">
        <v>608</v>
      </c>
      <c r="B578" s="4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false" outlineLevel="0" collapsed="false">
      <c r="A579" s="3" t="s">
        <v>609</v>
      </c>
      <c r="B579" s="4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3" t="s">
        <v>610</v>
      </c>
      <c r="B580" s="4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false" outlineLevel="0" collapsed="false">
      <c r="A581" s="3" t="s">
        <v>611</v>
      </c>
      <c r="B581" s="4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3" t="s">
        <v>612</v>
      </c>
      <c r="B582" s="4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false" outlineLevel="0" collapsed="false">
      <c r="A583" s="3" t="s">
        <v>613</v>
      </c>
      <c r="B583" s="4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3" t="s">
        <v>614</v>
      </c>
      <c r="B584" s="4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false" outlineLevel="0" collapsed="false">
      <c r="A585" s="3" t="s">
        <v>615</v>
      </c>
      <c r="B585" s="4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3" t="s">
        <v>616</v>
      </c>
      <c r="B586" s="4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false" outlineLevel="0" collapsed="false">
      <c r="A587" s="3" t="s">
        <v>617</v>
      </c>
      <c r="B587" s="4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3" t="s">
        <v>618</v>
      </c>
      <c r="B588" s="4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false" outlineLevel="0" collapsed="false">
      <c r="A589" s="3" t="s">
        <v>619</v>
      </c>
      <c r="B589" s="4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3" t="s">
        <v>620</v>
      </c>
      <c r="B590" s="4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false" outlineLevel="0" collapsed="false">
      <c r="A591" s="3" t="s">
        <v>621</v>
      </c>
      <c r="B591" s="4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3" t="s">
        <v>622</v>
      </c>
      <c r="B592" s="4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false" outlineLevel="0" collapsed="false">
      <c r="A593" s="3" t="s">
        <v>623</v>
      </c>
      <c r="B593" s="4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3" t="s">
        <v>624</v>
      </c>
      <c r="B594" s="4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false" outlineLevel="0" collapsed="false">
      <c r="A595" s="3" t="s">
        <v>625</v>
      </c>
      <c r="B595" s="4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3" t="s">
        <v>626</v>
      </c>
      <c r="B596" s="4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false" outlineLevel="0" collapsed="false">
      <c r="A597" s="3" t="s">
        <v>627</v>
      </c>
      <c r="B597" s="4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3" t="s">
        <v>628</v>
      </c>
      <c r="B598" s="4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false" outlineLevel="0" collapsed="false">
      <c r="A599" s="3" t="s">
        <v>629</v>
      </c>
      <c r="B599" s="4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3" t="s">
        <v>630</v>
      </c>
      <c r="B600" s="4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false" outlineLevel="0" collapsed="false">
      <c r="A601" s="3" t="s">
        <v>631</v>
      </c>
      <c r="B601" s="4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3" t="s">
        <v>632</v>
      </c>
      <c r="B602" s="4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false" outlineLevel="0" collapsed="false">
      <c r="A603" s="3" t="s">
        <v>633</v>
      </c>
      <c r="B603" s="4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3" t="s">
        <v>634</v>
      </c>
      <c r="B604" s="4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false" outlineLevel="0" collapsed="false">
      <c r="A605" s="3" t="s">
        <v>635</v>
      </c>
      <c r="B605" s="4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3" t="s">
        <v>636</v>
      </c>
      <c r="B606" s="4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false" outlineLevel="0" collapsed="false">
      <c r="A607" s="3" t="s">
        <v>637</v>
      </c>
      <c r="B607" s="4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3" t="s">
        <v>638</v>
      </c>
      <c r="B608" s="4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false" outlineLevel="0" collapsed="false">
      <c r="A609" s="3" t="s">
        <v>639</v>
      </c>
      <c r="B609" s="4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3" t="s">
        <v>640</v>
      </c>
      <c r="B610" s="4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false" outlineLevel="0" collapsed="false">
      <c r="A611" s="3" t="s">
        <v>641</v>
      </c>
      <c r="B611" s="4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3" t="s">
        <v>642</v>
      </c>
      <c r="B612" s="4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false" outlineLevel="0" collapsed="false">
      <c r="A613" s="3" t="s">
        <v>643</v>
      </c>
      <c r="B613" s="4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3" t="s">
        <v>644</v>
      </c>
      <c r="B614" s="4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false" outlineLevel="0" collapsed="false">
      <c r="A615" s="3" t="s">
        <v>645</v>
      </c>
      <c r="B615" s="4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3" t="s">
        <v>646</v>
      </c>
      <c r="B616" s="4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false" outlineLevel="0" collapsed="false">
      <c r="A617" s="3" t="s">
        <v>647</v>
      </c>
      <c r="B617" s="4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3" t="s">
        <v>648</v>
      </c>
      <c r="B618" s="4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false" outlineLevel="0" collapsed="false">
      <c r="A619" s="3" t="s">
        <v>649</v>
      </c>
      <c r="B619" s="4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3" t="s">
        <v>650</v>
      </c>
      <c r="B620" s="4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false" outlineLevel="0" collapsed="false">
      <c r="A621" s="3" t="s">
        <v>651</v>
      </c>
      <c r="B621" s="4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3" t="s">
        <v>652</v>
      </c>
      <c r="B622" s="4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false" outlineLevel="0" collapsed="false">
      <c r="A623" s="3" t="s">
        <v>653</v>
      </c>
      <c r="B623" s="4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3" t="s">
        <v>654</v>
      </c>
      <c r="B624" s="4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false" outlineLevel="0" collapsed="false">
      <c r="A625" s="3" t="s">
        <v>655</v>
      </c>
      <c r="B625" s="4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3" t="s">
        <v>656</v>
      </c>
      <c r="B626" s="4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false" outlineLevel="0" collapsed="false">
      <c r="A627" s="3" t="s">
        <v>657</v>
      </c>
      <c r="B627" s="4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3" t="s">
        <v>658</v>
      </c>
      <c r="B628" s="4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false" outlineLevel="0" collapsed="false">
      <c r="A629" s="3" t="s">
        <v>659</v>
      </c>
      <c r="B629" s="4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3" t="s">
        <v>660</v>
      </c>
      <c r="B630" s="4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false" outlineLevel="0" collapsed="false">
      <c r="A631" s="3" t="s">
        <v>661</v>
      </c>
      <c r="B631" s="4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3" t="s">
        <v>662</v>
      </c>
      <c r="B632" s="4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false" outlineLevel="0" collapsed="false">
      <c r="A633" s="3" t="s">
        <v>663</v>
      </c>
      <c r="B633" s="4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false" outlineLevel="0" collapsed="false">
      <c r="A634" s="3" t="s">
        <v>664</v>
      </c>
      <c r="B634" s="4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false" outlineLevel="0" collapsed="false">
      <c r="A635" s="3" t="s">
        <v>665</v>
      </c>
      <c r="B635" s="4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3" t="s">
        <v>666</v>
      </c>
      <c r="B636" s="4" t="n">
        <v>45803</v>
      </c>
      <c r="C636" s="3" t="s">
        <v>17</v>
      </c>
      <c r="D636" s="3" t="s">
        <v>28</v>
      </c>
      <c r="E636" s="3" t="s">
        <v>24</v>
      </c>
      <c r="F636" s="3" t="s">
        <v>1485</v>
      </c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false" outlineLevel="0" collapsed="false">
      <c r="A637" s="3" t="s">
        <v>667</v>
      </c>
      <c r="B637" s="4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3" t="s">
        <v>668</v>
      </c>
      <c r="B638" s="4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false" outlineLevel="0" collapsed="false">
      <c r="A639" s="3" t="s">
        <v>669</v>
      </c>
      <c r="B639" s="4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3" t="s">
        <v>670</v>
      </c>
      <c r="B640" s="4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false" outlineLevel="0" collapsed="false">
      <c r="A641" s="3" t="s">
        <v>671</v>
      </c>
      <c r="B641" s="4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3" t="s">
        <v>672</v>
      </c>
      <c r="B642" s="4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false" outlineLevel="0" collapsed="false">
      <c r="A643" s="3" t="s">
        <v>673</v>
      </c>
      <c r="B643" s="4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3" t="s">
        <v>674</v>
      </c>
      <c r="B644" s="4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false" outlineLevel="0" collapsed="false">
      <c r="A645" s="3" t="s">
        <v>675</v>
      </c>
      <c r="B645" s="4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3" t="s">
        <v>676</v>
      </c>
      <c r="B646" s="4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false" outlineLevel="0" collapsed="false">
      <c r="A647" s="3" t="s">
        <v>677</v>
      </c>
      <c r="B647" s="4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3" t="s">
        <v>678</v>
      </c>
      <c r="B648" s="4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false" outlineLevel="0" collapsed="false">
      <c r="A649" s="3" t="s">
        <v>679</v>
      </c>
      <c r="B649" s="4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3" t="s">
        <v>680</v>
      </c>
      <c r="B650" s="4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false" outlineLevel="0" collapsed="false">
      <c r="A651" s="3" t="s">
        <v>681</v>
      </c>
      <c r="B651" s="4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3" t="s">
        <v>682</v>
      </c>
      <c r="B652" s="4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false" outlineLevel="0" collapsed="false">
      <c r="A653" s="3" t="s">
        <v>683</v>
      </c>
      <c r="B653" s="4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3" t="s">
        <v>684</v>
      </c>
      <c r="B654" s="4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false" outlineLevel="0" collapsed="false">
      <c r="A655" s="3" t="s">
        <v>685</v>
      </c>
      <c r="B655" s="4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3" t="s">
        <v>686</v>
      </c>
      <c r="B656" s="4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false" outlineLevel="0" collapsed="false">
      <c r="A657" s="3" t="s">
        <v>687</v>
      </c>
      <c r="B657" s="4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3" t="s">
        <v>688</v>
      </c>
      <c r="B658" s="4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false" outlineLevel="0" collapsed="false">
      <c r="A659" s="3" t="s">
        <v>689</v>
      </c>
      <c r="B659" s="4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3" t="s">
        <v>690</v>
      </c>
      <c r="B660" s="4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false" outlineLevel="0" collapsed="false">
      <c r="A661" s="3" t="s">
        <v>691</v>
      </c>
      <c r="B661" s="4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3" t="s">
        <v>692</v>
      </c>
      <c r="B662" s="4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false" outlineLevel="0" collapsed="false">
      <c r="A663" s="3" t="s">
        <v>693</v>
      </c>
      <c r="B663" s="4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3" t="s">
        <v>694</v>
      </c>
      <c r="B664" s="4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false" outlineLevel="0" collapsed="false">
      <c r="A665" s="3" t="s">
        <v>695</v>
      </c>
      <c r="B665" s="4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3" t="s">
        <v>696</v>
      </c>
      <c r="B666" s="4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false" outlineLevel="0" collapsed="false">
      <c r="A667" s="3" t="s">
        <v>697</v>
      </c>
      <c r="B667" s="4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3" t="s">
        <v>698</v>
      </c>
      <c r="B668" s="4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false" outlineLevel="0" collapsed="false">
      <c r="A669" s="3" t="s">
        <v>699</v>
      </c>
      <c r="B669" s="4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3" t="s">
        <v>700</v>
      </c>
      <c r="B670" s="4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false" outlineLevel="0" collapsed="false">
      <c r="A671" s="3" t="s">
        <v>701</v>
      </c>
      <c r="B671" s="4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3" t="s">
        <v>702</v>
      </c>
      <c r="B672" s="4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false" outlineLevel="0" collapsed="false">
      <c r="A673" s="3" t="s">
        <v>703</v>
      </c>
      <c r="B673" s="4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3" t="s">
        <v>704</v>
      </c>
      <c r="B674" s="4" t="n">
        <v>45667</v>
      </c>
      <c r="C674" s="3" t="s">
        <v>17</v>
      </c>
      <c r="D674" s="3" t="s">
        <v>23</v>
      </c>
      <c r="E674" s="3" t="s">
        <v>1485</v>
      </c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false" outlineLevel="0" collapsed="false">
      <c r="A675" s="3" t="s">
        <v>705</v>
      </c>
      <c r="B675" s="4" t="n">
        <v>45737</v>
      </c>
      <c r="C675" s="3" t="s">
        <v>17</v>
      </c>
      <c r="D675" s="3" t="s">
        <v>32</v>
      </c>
      <c r="E675" s="3" t="s">
        <v>1485</v>
      </c>
      <c r="F675" s="3" t="s">
        <v>29</v>
      </c>
      <c r="G675" s="3" t="s">
        <v>26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3" t="s">
        <v>706</v>
      </c>
      <c r="B676" s="4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false" outlineLevel="0" collapsed="false">
      <c r="A677" s="3" t="s">
        <v>707</v>
      </c>
      <c r="B677" s="4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3" t="s">
        <v>708</v>
      </c>
      <c r="B678" s="4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false" outlineLevel="0" collapsed="false">
      <c r="A679" s="3" t="s">
        <v>709</v>
      </c>
      <c r="B679" s="4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3" t="s">
        <v>710</v>
      </c>
      <c r="B680" s="4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false" outlineLevel="0" collapsed="false">
      <c r="A681" s="3" t="s">
        <v>711</v>
      </c>
      <c r="B681" s="4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3" t="s">
        <v>712</v>
      </c>
      <c r="B682" s="4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false" outlineLevel="0" collapsed="false">
      <c r="A683" s="3" t="s">
        <v>713</v>
      </c>
      <c r="B683" s="4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3" t="s">
        <v>714</v>
      </c>
      <c r="B684" s="4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false" outlineLevel="0" collapsed="false">
      <c r="A685" s="3" t="s">
        <v>715</v>
      </c>
      <c r="B685" s="4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3" t="s">
        <v>716</v>
      </c>
      <c r="B686" s="4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false" outlineLevel="0" collapsed="false">
      <c r="A687" s="3" t="s">
        <v>717</v>
      </c>
      <c r="B687" s="4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3" t="s">
        <v>718</v>
      </c>
      <c r="B688" s="4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false" outlineLevel="0" collapsed="false">
      <c r="A689" s="3" t="s">
        <v>719</v>
      </c>
      <c r="B689" s="4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3" t="s">
        <v>720</v>
      </c>
      <c r="B690" s="4" t="n">
        <v>45804</v>
      </c>
      <c r="C690" s="3" t="s">
        <v>17</v>
      </c>
      <c r="D690" s="3" t="s">
        <v>18</v>
      </c>
      <c r="E690" s="3" t="s">
        <v>19</v>
      </c>
      <c r="F690" s="3" t="s">
        <v>1485</v>
      </c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false" outlineLevel="0" collapsed="false">
      <c r="A691" s="3" t="s">
        <v>721</v>
      </c>
      <c r="B691" s="4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3" t="s">
        <v>722</v>
      </c>
      <c r="B692" s="4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false" outlineLevel="0" collapsed="false">
      <c r="A693" s="3" t="s">
        <v>724</v>
      </c>
      <c r="B693" s="4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3" t="s">
        <v>725</v>
      </c>
      <c r="B694" s="4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false" outlineLevel="0" collapsed="false">
      <c r="A695" s="3" t="s">
        <v>726</v>
      </c>
      <c r="B695" s="4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false" outlineLevel="0" collapsed="false">
      <c r="A696" s="3" t="s">
        <v>727</v>
      </c>
      <c r="B696" s="4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false" outlineLevel="0" collapsed="false">
      <c r="A697" s="3" t="s">
        <v>728</v>
      </c>
      <c r="B697" s="4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3" t="s">
        <v>729</v>
      </c>
      <c r="B698" s="4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false" outlineLevel="0" collapsed="false">
      <c r="A699" s="3" t="s">
        <v>730</v>
      </c>
      <c r="B699" s="4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3" t="s">
        <v>731</v>
      </c>
      <c r="B700" s="4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false" outlineLevel="0" collapsed="false">
      <c r="A701" s="3" t="s">
        <v>732</v>
      </c>
      <c r="B701" s="4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3" t="s">
        <v>733</v>
      </c>
      <c r="B702" s="4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false" outlineLevel="0" collapsed="false">
      <c r="A703" s="3" t="s">
        <v>734</v>
      </c>
      <c r="B703" s="4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3" t="s">
        <v>735</v>
      </c>
      <c r="B704" s="4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false" outlineLevel="0" collapsed="false">
      <c r="A705" s="3" t="s">
        <v>736</v>
      </c>
      <c r="B705" s="4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3" t="s">
        <v>737</v>
      </c>
      <c r="B706" s="4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false" outlineLevel="0" collapsed="false">
      <c r="A707" s="3" t="s">
        <v>738</v>
      </c>
      <c r="B707" s="4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3" t="s">
        <v>739</v>
      </c>
      <c r="B708" s="4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false" outlineLevel="0" collapsed="false">
      <c r="A709" s="3" t="s">
        <v>740</v>
      </c>
      <c r="B709" s="4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3" t="s">
        <v>741</v>
      </c>
      <c r="B710" s="4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false" outlineLevel="0" collapsed="false">
      <c r="A711" s="3" t="s">
        <v>742</v>
      </c>
      <c r="B711" s="4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3" t="s">
        <v>743</v>
      </c>
      <c r="B712" s="4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false" outlineLevel="0" collapsed="false">
      <c r="A713" s="3" t="s">
        <v>744</v>
      </c>
      <c r="B713" s="4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3" t="s">
        <v>745</v>
      </c>
      <c r="B714" s="4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false" outlineLevel="0" collapsed="false">
      <c r="A715" s="3" t="s">
        <v>746</v>
      </c>
      <c r="B715" s="4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3" t="s">
        <v>747</v>
      </c>
      <c r="B716" s="4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false" outlineLevel="0" collapsed="false">
      <c r="A717" s="3" t="s">
        <v>748</v>
      </c>
      <c r="B717" s="4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3" t="s">
        <v>749</v>
      </c>
      <c r="B718" s="4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false" outlineLevel="0" collapsed="false">
      <c r="A719" s="3" t="s">
        <v>750</v>
      </c>
      <c r="B719" s="4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3" t="s">
        <v>751</v>
      </c>
      <c r="B720" s="4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false" outlineLevel="0" collapsed="false">
      <c r="A721" s="3" t="s">
        <v>752</v>
      </c>
      <c r="B721" s="4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3" t="s">
        <v>753</v>
      </c>
      <c r="B722" s="4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false" outlineLevel="0" collapsed="false">
      <c r="A723" s="3" t="s">
        <v>754</v>
      </c>
      <c r="B723" s="4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3" t="s">
        <v>755</v>
      </c>
      <c r="B724" s="4" t="n">
        <v>45729</v>
      </c>
      <c r="C724" s="3" t="s">
        <v>723</v>
      </c>
      <c r="D724" s="3" t="s">
        <v>32</v>
      </c>
      <c r="E724" s="3" t="s">
        <v>24</v>
      </c>
      <c r="F724" s="3" t="s">
        <v>1485</v>
      </c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false" outlineLevel="0" collapsed="false">
      <c r="A725" s="3" t="s">
        <v>756</v>
      </c>
      <c r="B725" s="4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3" t="s">
        <v>757</v>
      </c>
      <c r="B726" s="4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false" outlineLevel="0" collapsed="false">
      <c r="A727" s="3" t="s">
        <v>758</v>
      </c>
      <c r="B727" s="4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3" t="s">
        <v>759</v>
      </c>
      <c r="B728" s="4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false" outlineLevel="0" collapsed="false">
      <c r="A729" s="3" t="s">
        <v>760</v>
      </c>
      <c r="B729" s="4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3" t="s">
        <v>761</v>
      </c>
      <c r="B730" s="4" t="n">
        <v>45692</v>
      </c>
      <c r="C730" s="3" t="s">
        <v>723</v>
      </c>
      <c r="D730" s="3" t="s">
        <v>32</v>
      </c>
      <c r="E730" s="3" t="s">
        <v>24</v>
      </c>
      <c r="F730" s="3" t="s">
        <v>1485</v>
      </c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false" outlineLevel="0" collapsed="false">
      <c r="A731" s="3" t="s">
        <v>762</v>
      </c>
      <c r="B731" s="4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3" t="s">
        <v>763</v>
      </c>
      <c r="B732" s="4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false" outlineLevel="0" collapsed="false">
      <c r="A733" s="3" t="s">
        <v>764</v>
      </c>
      <c r="B733" s="4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3" t="s">
        <v>765</v>
      </c>
      <c r="B734" s="4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false" outlineLevel="0" collapsed="false">
      <c r="A735" s="3" t="s">
        <v>766</v>
      </c>
      <c r="B735" s="4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3" t="s">
        <v>767</v>
      </c>
      <c r="B736" s="4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false" outlineLevel="0" collapsed="false">
      <c r="A737" s="3" t="s">
        <v>768</v>
      </c>
      <c r="B737" s="4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3" t="s">
        <v>769</v>
      </c>
      <c r="B738" s="4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false" outlineLevel="0" collapsed="false">
      <c r="A739" s="3" t="s">
        <v>770</v>
      </c>
      <c r="B739" s="4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3" t="s">
        <v>771</v>
      </c>
      <c r="B740" s="4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false" outlineLevel="0" collapsed="false">
      <c r="A741" s="3" t="s">
        <v>772</v>
      </c>
      <c r="B741" s="4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3" t="s">
        <v>773</v>
      </c>
      <c r="B742" s="4" t="n">
        <v>45746</v>
      </c>
      <c r="C742" s="3" t="s">
        <v>723</v>
      </c>
      <c r="D742" s="3" t="s">
        <v>18</v>
      </c>
      <c r="E742" s="3" t="s">
        <v>19</v>
      </c>
      <c r="F742" s="3" t="s">
        <v>1485</v>
      </c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false" outlineLevel="0" collapsed="false">
      <c r="A743" s="3" t="s">
        <v>774</v>
      </c>
      <c r="B743" s="4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3" t="s">
        <v>775</v>
      </c>
      <c r="B744" s="4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false" outlineLevel="0" collapsed="false">
      <c r="A745" s="3" t="s">
        <v>776</v>
      </c>
      <c r="B745" s="4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3" t="s">
        <v>777</v>
      </c>
      <c r="B746" s="4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false" outlineLevel="0" collapsed="false">
      <c r="A747" s="3" t="s">
        <v>778</v>
      </c>
      <c r="B747" s="4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3" t="s">
        <v>779</v>
      </c>
      <c r="B748" s="4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false" outlineLevel="0" collapsed="false">
      <c r="A749" s="3" t="s">
        <v>780</v>
      </c>
      <c r="B749" s="4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3" t="s">
        <v>781</v>
      </c>
      <c r="B750" s="4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false" outlineLevel="0" collapsed="false">
      <c r="A751" s="3" t="s">
        <v>782</v>
      </c>
      <c r="B751" s="4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3" t="s">
        <v>783</v>
      </c>
      <c r="B752" s="4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false" outlineLevel="0" collapsed="false">
      <c r="A753" s="3" t="s">
        <v>784</v>
      </c>
      <c r="B753" s="4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3" t="s">
        <v>785</v>
      </c>
      <c r="B754" s="4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false" outlineLevel="0" collapsed="false">
      <c r="A755" s="3" t="s">
        <v>786</v>
      </c>
      <c r="B755" s="4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3" t="s">
        <v>787</v>
      </c>
      <c r="B756" s="4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false" outlineLevel="0" collapsed="false">
      <c r="A757" s="3" t="s">
        <v>788</v>
      </c>
      <c r="B757" s="4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3" t="s">
        <v>789</v>
      </c>
      <c r="B758" s="4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false" outlineLevel="0" collapsed="false">
      <c r="A759" s="3" t="s">
        <v>790</v>
      </c>
      <c r="B759" s="4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3" t="s">
        <v>791</v>
      </c>
      <c r="B760" s="4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false" outlineLevel="0" collapsed="false">
      <c r="A761" s="3" t="s">
        <v>792</v>
      </c>
      <c r="B761" s="4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3" t="s">
        <v>793</v>
      </c>
      <c r="B762" s="4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false" outlineLevel="0" collapsed="false">
      <c r="A763" s="3" t="s">
        <v>794</v>
      </c>
      <c r="B763" s="4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false" outlineLevel="0" collapsed="false">
      <c r="A764" s="3" t="s">
        <v>795</v>
      </c>
      <c r="B764" s="4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false" outlineLevel="0" collapsed="false">
      <c r="A765" s="3" t="s">
        <v>796</v>
      </c>
      <c r="B765" s="4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3" t="s">
        <v>797</v>
      </c>
      <c r="B766" s="4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false" outlineLevel="0" collapsed="false">
      <c r="A767" s="3" t="s">
        <v>798</v>
      </c>
      <c r="B767" s="4" t="n">
        <v>45671</v>
      </c>
      <c r="C767" s="3" t="s">
        <v>723</v>
      </c>
      <c r="D767" s="3" t="s">
        <v>23</v>
      </c>
      <c r="E767" s="3" t="s">
        <v>1485</v>
      </c>
      <c r="F767" s="3" t="s">
        <v>20</v>
      </c>
      <c r="G767" s="3" t="s">
        <v>21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3" t="s">
        <v>799</v>
      </c>
      <c r="B768" s="4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false" outlineLevel="0" collapsed="false">
      <c r="A769" s="3" t="s">
        <v>800</v>
      </c>
      <c r="B769" s="4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3" t="s">
        <v>801</v>
      </c>
      <c r="B770" s="4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false" outlineLevel="0" collapsed="false">
      <c r="A771" s="3" t="s">
        <v>802</v>
      </c>
      <c r="B771" s="4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3" t="s">
        <v>803</v>
      </c>
      <c r="B772" s="4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false" outlineLevel="0" collapsed="false">
      <c r="A773" s="3" t="s">
        <v>804</v>
      </c>
      <c r="B773" s="4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3" t="s">
        <v>805</v>
      </c>
      <c r="B774" s="4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false" outlineLevel="0" collapsed="false">
      <c r="A775" s="3" t="s">
        <v>806</v>
      </c>
      <c r="B775" s="4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3" t="s">
        <v>807</v>
      </c>
      <c r="B776" s="4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false" outlineLevel="0" collapsed="false">
      <c r="A777" s="3" t="s">
        <v>808</v>
      </c>
      <c r="B777" s="4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3" t="s">
        <v>809</v>
      </c>
      <c r="B778" s="4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false" outlineLevel="0" collapsed="false">
      <c r="A779" s="3" t="s">
        <v>810</v>
      </c>
      <c r="B779" s="4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3" t="s">
        <v>811</v>
      </c>
      <c r="B780" s="4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false" outlineLevel="0" collapsed="false">
      <c r="A781" s="3" t="s">
        <v>812</v>
      </c>
      <c r="B781" s="4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3" t="s">
        <v>813</v>
      </c>
      <c r="B782" s="4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false" outlineLevel="0" collapsed="false">
      <c r="A783" s="3" t="s">
        <v>814</v>
      </c>
      <c r="B783" s="4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3" t="s">
        <v>815</v>
      </c>
      <c r="B784" s="4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false" outlineLevel="0" collapsed="false">
      <c r="A785" s="3" t="s">
        <v>816</v>
      </c>
      <c r="B785" s="4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3" t="s">
        <v>817</v>
      </c>
      <c r="B786" s="4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false" outlineLevel="0" collapsed="false">
      <c r="A787" s="3" t="s">
        <v>818</v>
      </c>
      <c r="B787" s="4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3" t="s">
        <v>819</v>
      </c>
      <c r="B788" s="4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false" outlineLevel="0" collapsed="false">
      <c r="A789" s="3" t="s">
        <v>820</v>
      </c>
      <c r="B789" s="4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3" t="s">
        <v>821</v>
      </c>
      <c r="B790" s="4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false" outlineLevel="0" collapsed="false">
      <c r="A791" s="3" t="s">
        <v>822</v>
      </c>
      <c r="B791" s="4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3" t="s">
        <v>823</v>
      </c>
      <c r="B792" s="4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false" outlineLevel="0" collapsed="false">
      <c r="A793" s="3" t="s">
        <v>824</v>
      </c>
      <c r="B793" s="4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3" t="s">
        <v>825</v>
      </c>
      <c r="B794" s="4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false" outlineLevel="0" collapsed="false">
      <c r="A795" s="3" t="s">
        <v>826</v>
      </c>
      <c r="B795" s="4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3" t="s">
        <v>827</v>
      </c>
      <c r="B796" s="4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false" outlineLevel="0" collapsed="false">
      <c r="A797" s="3" t="s">
        <v>828</v>
      </c>
      <c r="B797" s="4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3" t="s">
        <v>829</v>
      </c>
      <c r="B798" s="4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false" outlineLevel="0" collapsed="false">
      <c r="A799" s="3" t="s">
        <v>830</v>
      </c>
      <c r="B799" s="4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3" t="s">
        <v>831</v>
      </c>
      <c r="B800" s="4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false" outlineLevel="0" collapsed="false">
      <c r="A801" s="3" t="s">
        <v>832</v>
      </c>
      <c r="B801" s="4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3" t="s">
        <v>833</v>
      </c>
      <c r="B802" s="4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false" outlineLevel="0" collapsed="false">
      <c r="A803" s="3" t="s">
        <v>834</v>
      </c>
      <c r="B803" s="4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3" t="s">
        <v>835</v>
      </c>
      <c r="B804" s="4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false" outlineLevel="0" collapsed="false">
      <c r="A805" s="3" t="s">
        <v>836</v>
      </c>
      <c r="B805" s="4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3" t="s">
        <v>837</v>
      </c>
      <c r="B806" s="4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false" outlineLevel="0" collapsed="false">
      <c r="A807" s="3" t="s">
        <v>838</v>
      </c>
      <c r="B807" s="4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3" t="s">
        <v>839</v>
      </c>
      <c r="B808" s="4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false" outlineLevel="0" collapsed="false">
      <c r="A809" s="3" t="s">
        <v>840</v>
      </c>
      <c r="B809" s="4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3" t="s">
        <v>841</v>
      </c>
      <c r="B810" s="4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false" outlineLevel="0" collapsed="false">
      <c r="A811" s="3" t="s">
        <v>842</v>
      </c>
      <c r="B811" s="4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3" t="s">
        <v>843</v>
      </c>
      <c r="B812" s="4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false" outlineLevel="0" collapsed="false">
      <c r="A813" s="3" t="s">
        <v>844</v>
      </c>
      <c r="B813" s="4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3" t="s">
        <v>845</v>
      </c>
      <c r="B814" s="4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false" outlineLevel="0" collapsed="false">
      <c r="A815" s="3" t="s">
        <v>846</v>
      </c>
      <c r="B815" s="4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3" t="s">
        <v>847</v>
      </c>
      <c r="B816" s="4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false" outlineLevel="0" collapsed="false">
      <c r="A817" s="3" t="s">
        <v>848</v>
      </c>
      <c r="B817" s="4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3" t="s">
        <v>849</v>
      </c>
      <c r="B818" s="4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false" outlineLevel="0" collapsed="false">
      <c r="A819" s="3" t="s">
        <v>850</v>
      </c>
      <c r="B819" s="4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3" t="s">
        <v>851</v>
      </c>
      <c r="B820" s="4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false" outlineLevel="0" collapsed="false">
      <c r="A821" s="3" t="s">
        <v>852</v>
      </c>
      <c r="B821" s="4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3" t="s">
        <v>853</v>
      </c>
      <c r="B822" s="4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false" outlineLevel="0" collapsed="false">
      <c r="A823" s="3" t="s">
        <v>854</v>
      </c>
      <c r="B823" s="4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3" t="s">
        <v>855</v>
      </c>
      <c r="B824" s="4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false" outlineLevel="0" collapsed="false">
      <c r="A825" s="3" t="s">
        <v>856</v>
      </c>
      <c r="B825" s="4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3" t="s">
        <v>857</v>
      </c>
      <c r="B826" s="4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false" outlineLevel="0" collapsed="false">
      <c r="A827" s="3" t="s">
        <v>858</v>
      </c>
      <c r="B827" s="4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3" t="s">
        <v>859</v>
      </c>
      <c r="B828" s="4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false" outlineLevel="0" collapsed="false">
      <c r="A829" s="3" t="s">
        <v>860</v>
      </c>
      <c r="B829" s="4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3" t="s">
        <v>861</v>
      </c>
      <c r="B830" s="4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false" outlineLevel="0" collapsed="false">
      <c r="A831" s="3" t="s">
        <v>862</v>
      </c>
      <c r="B831" s="4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3" t="s">
        <v>863</v>
      </c>
      <c r="B832" s="4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false" outlineLevel="0" collapsed="false">
      <c r="A833" s="3" t="s">
        <v>864</v>
      </c>
      <c r="B833" s="4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3" t="s">
        <v>865</v>
      </c>
      <c r="B834" s="4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false" outlineLevel="0" collapsed="false">
      <c r="A835" s="3" t="s">
        <v>866</v>
      </c>
      <c r="B835" s="4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3" t="s">
        <v>867</v>
      </c>
      <c r="B836" s="4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false" outlineLevel="0" collapsed="false">
      <c r="A837" s="3" t="s">
        <v>868</v>
      </c>
      <c r="B837" s="4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3" t="s">
        <v>869</v>
      </c>
      <c r="B838" s="4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false" outlineLevel="0" collapsed="false">
      <c r="A839" s="3" t="s">
        <v>870</v>
      </c>
      <c r="B839" s="4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3" t="s">
        <v>871</v>
      </c>
      <c r="B840" s="4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false" outlineLevel="0" collapsed="false">
      <c r="A841" s="3" t="s">
        <v>872</v>
      </c>
      <c r="B841" s="4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3" t="s">
        <v>873</v>
      </c>
      <c r="B842" s="4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false" outlineLevel="0" collapsed="false">
      <c r="A843" s="3" t="s">
        <v>874</v>
      </c>
      <c r="B843" s="4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3" t="s">
        <v>875</v>
      </c>
      <c r="B844" s="4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false" outlineLevel="0" collapsed="false">
      <c r="A845" s="3" t="s">
        <v>876</v>
      </c>
      <c r="B845" s="4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3" t="s">
        <v>877</v>
      </c>
      <c r="B846" s="4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false" outlineLevel="0" collapsed="false">
      <c r="A847" s="3" t="s">
        <v>878</v>
      </c>
      <c r="B847" s="4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3" t="s">
        <v>879</v>
      </c>
      <c r="B848" s="4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false" outlineLevel="0" collapsed="false">
      <c r="A849" s="3" t="s">
        <v>880</v>
      </c>
      <c r="B849" s="4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3" t="s">
        <v>881</v>
      </c>
      <c r="B850" s="4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false" outlineLevel="0" collapsed="false">
      <c r="A851" s="3" t="s">
        <v>882</v>
      </c>
      <c r="B851" s="4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3" t="s">
        <v>883</v>
      </c>
      <c r="B852" s="4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false" outlineLevel="0" collapsed="false">
      <c r="A853" s="3" t="s">
        <v>884</v>
      </c>
      <c r="B853" s="4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3" t="s">
        <v>885</v>
      </c>
      <c r="B854" s="4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false" outlineLevel="0" collapsed="false">
      <c r="A855" s="3" t="s">
        <v>886</v>
      </c>
      <c r="B855" s="4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3" t="s">
        <v>887</v>
      </c>
      <c r="B856" s="4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false" outlineLevel="0" collapsed="false">
      <c r="A857" s="3" t="s">
        <v>888</v>
      </c>
      <c r="B857" s="4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3" t="s">
        <v>889</v>
      </c>
      <c r="B858" s="4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false" outlineLevel="0" collapsed="false">
      <c r="A859" s="3" t="s">
        <v>890</v>
      </c>
      <c r="B859" s="4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3" t="s">
        <v>891</v>
      </c>
      <c r="B860" s="4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false" outlineLevel="0" collapsed="false">
      <c r="A861" s="3" t="s">
        <v>892</v>
      </c>
      <c r="B861" s="4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3" t="s">
        <v>893</v>
      </c>
      <c r="B862" s="4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false" outlineLevel="0" collapsed="false">
      <c r="A863" s="3" t="s">
        <v>894</v>
      </c>
      <c r="B863" s="4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3" t="s">
        <v>895</v>
      </c>
      <c r="B864" s="4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false" outlineLevel="0" collapsed="false">
      <c r="A865" s="3" t="s">
        <v>896</v>
      </c>
      <c r="B865" s="4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3" t="s">
        <v>897</v>
      </c>
      <c r="B866" s="4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false" outlineLevel="0" collapsed="false">
      <c r="A867" s="3" t="s">
        <v>898</v>
      </c>
      <c r="B867" s="4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3" t="s">
        <v>899</v>
      </c>
      <c r="B868" s="4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false" outlineLevel="0" collapsed="false">
      <c r="A869" s="3" t="s">
        <v>900</v>
      </c>
      <c r="B869" s="4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3" t="s">
        <v>901</v>
      </c>
      <c r="B870" s="4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false" outlineLevel="0" collapsed="false">
      <c r="A871" s="3" t="s">
        <v>902</v>
      </c>
      <c r="B871" s="4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3" t="s">
        <v>903</v>
      </c>
      <c r="B872" s="4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false" outlineLevel="0" collapsed="false">
      <c r="A873" s="3" t="s">
        <v>904</v>
      </c>
      <c r="B873" s="4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3" t="s">
        <v>905</v>
      </c>
      <c r="B874" s="4" t="n">
        <v>45769</v>
      </c>
      <c r="C874" s="3" t="s">
        <v>723</v>
      </c>
      <c r="D874" s="3" t="s">
        <v>23</v>
      </c>
      <c r="E874" s="3" t="s">
        <v>1485</v>
      </c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false" outlineLevel="0" collapsed="false">
      <c r="A875" s="3" t="s">
        <v>906</v>
      </c>
      <c r="B875" s="4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3" t="s">
        <v>907</v>
      </c>
      <c r="B876" s="4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false" outlineLevel="0" collapsed="false">
      <c r="A877" s="3" t="s">
        <v>908</v>
      </c>
      <c r="B877" s="4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3" t="s">
        <v>909</v>
      </c>
      <c r="B878" s="4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false" outlineLevel="0" collapsed="false">
      <c r="A879" s="3" t="s">
        <v>910</v>
      </c>
      <c r="B879" s="4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3" t="s">
        <v>911</v>
      </c>
      <c r="B880" s="4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false" outlineLevel="0" collapsed="false">
      <c r="A881" s="3" t="s">
        <v>912</v>
      </c>
      <c r="B881" s="4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3" t="s">
        <v>913</v>
      </c>
      <c r="B882" s="4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false" outlineLevel="0" collapsed="false">
      <c r="A883" s="3" t="s">
        <v>914</v>
      </c>
      <c r="B883" s="4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3" t="s">
        <v>915</v>
      </c>
      <c r="B884" s="4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false" outlineLevel="0" collapsed="false">
      <c r="A885" s="3" t="s">
        <v>916</v>
      </c>
      <c r="B885" s="4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3" t="s">
        <v>917</v>
      </c>
      <c r="B886" s="4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false" outlineLevel="0" collapsed="false">
      <c r="A887" s="3" t="s">
        <v>918</v>
      </c>
      <c r="B887" s="4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3" t="s">
        <v>919</v>
      </c>
      <c r="B888" s="4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false" outlineLevel="0" collapsed="false">
      <c r="A889" s="3" t="s">
        <v>920</v>
      </c>
      <c r="B889" s="4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3" t="s">
        <v>921</v>
      </c>
      <c r="B890" s="4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false" outlineLevel="0" collapsed="false">
      <c r="A891" s="3" t="s">
        <v>922</v>
      </c>
      <c r="B891" s="4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3" t="s">
        <v>923</v>
      </c>
      <c r="B892" s="4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false" outlineLevel="0" collapsed="false">
      <c r="A893" s="3" t="s">
        <v>924</v>
      </c>
      <c r="B893" s="4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3" t="s">
        <v>925</v>
      </c>
      <c r="B894" s="4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false" outlineLevel="0" collapsed="false">
      <c r="A895" s="3" t="s">
        <v>926</v>
      </c>
      <c r="B895" s="4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3" t="s">
        <v>927</v>
      </c>
      <c r="B896" s="4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false" outlineLevel="0" collapsed="false">
      <c r="A897" s="3" t="s">
        <v>928</v>
      </c>
      <c r="B897" s="4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3" t="s">
        <v>929</v>
      </c>
      <c r="B898" s="4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false" outlineLevel="0" collapsed="false">
      <c r="A899" s="3" t="s">
        <v>930</v>
      </c>
      <c r="B899" s="4" t="n">
        <v>45690</v>
      </c>
      <c r="C899" s="3" t="s">
        <v>723</v>
      </c>
      <c r="D899" s="3" t="s">
        <v>32</v>
      </c>
      <c r="E899" s="3" t="s">
        <v>24</v>
      </c>
      <c r="F899" s="3" t="s">
        <v>1485</v>
      </c>
      <c r="G899" s="3" t="s">
        <v>26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3" t="s">
        <v>931</v>
      </c>
      <c r="B900" s="4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false" outlineLevel="0" collapsed="false">
      <c r="A901" s="3" t="s">
        <v>932</v>
      </c>
      <c r="B901" s="4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3" t="s">
        <v>933</v>
      </c>
      <c r="B902" s="4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false" outlineLevel="0" collapsed="false">
      <c r="A903" s="3" t="s">
        <v>934</v>
      </c>
      <c r="B903" s="4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3" t="s">
        <v>935</v>
      </c>
      <c r="B904" s="4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false" outlineLevel="0" collapsed="false">
      <c r="A905" s="3" t="s">
        <v>936</v>
      </c>
      <c r="B905" s="4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3" t="s">
        <v>937</v>
      </c>
      <c r="B906" s="4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false" outlineLevel="0" collapsed="false">
      <c r="A907" s="3" t="s">
        <v>938</v>
      </c>
      <c r="B907" s="4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3" t="s">
        <v>939</v>
      </c>
      <c r="B908" s="4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false" outlineLevel="0" collapsed="false">
      <c r="A909" s="3" t="s">
        <v>940</v>
      </c>
      <c r="B909" s="4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3" t="s">
        <v>941</v>
      </c>
      <c r="B910" s="4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false" outlineLevel="0" collapsed="false">
      <c r="A911" s="3" t="s">
        <v>942</v>
      </c>
      <c r="B911" s="4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3" t="s">
        <v>943</v>
      </c>
      <c r="B912" s="4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false" outlineLevel="0" collapsed="false">
      <c r="A913" s="3" t="s">
        <v>944</v>
      </c>
      <c r="B913" s="4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3" t="s">
        <v>945</v>
      </c>
      <c r="B914" s="4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false" outlineLevel="0" collapsed="false">
      <c r="A915" s="3" t="s">
        <v>946</v>
      </c>
      <c r="B915" s="4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3" t="s">
        <v>947</v>
      </c>
      <c r="B916" s="4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false" outlineLevel="0" collapsed="false">
      <c r="A917" s="3" t="s">
        <v>948</v>
      </c>
      <c r="B917" s="4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3" t="s">
        <v>949</v>
      </c>
      <c r="B918" s="4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false" outlineLevel="0" collapsed="false">
      <c r="A919" s="3" t="s">
        <v>950</v>
      </c>
      <c r="B919" s="4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3" t="s">
        <v>951</v>
      </c>
      <c r="B920" s="4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false" outlineLevel="0" collapsed="false">
      <c r="A921" s="3" t="s">
        <v>952</v>
      </c>
      <c r="B921" s="4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3" t="s">
        <v>953</v>
      </c>
      <c r="B922" s="4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false" outlineLevel="0" collapsed="false">
      <c r="A923" s="3" t="s">
        <v>954</v>
      </c>
      <c r="B923" s="4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3" t="s">
        <v>955</v>
      </c>
      <c r="B924" s="4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false" outlineLevel="0" collapsed="false">
      <c r="A925" s="3" t="s">
        <v>956</v>
      </c>
      <c r="B925" s="4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3" t="s">
        <v>957</v>
      </c>
      <c r="B926" s="4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false" outlineLevel="0" collapsed="false">
      <c r="A927" s="3" t="s">
        <v>958</v>
      </c>
      <c r="B927" s="4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3" t="s">
        <v>959</v>
      </c>
      <c r="B928" s="4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false" outlineLevel="0" collapsed="false">
      <c r="A929" s="3" t="s">
        <v>960</v>
      </c>
      <c r="B929" s="4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3" t="s">
        <v>961</v>
      </c>
      <c r="B930" s="4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false" outlineLevel="0" collapsed="false">
      <c r="A931" s="3" t="s">
        <v>962</v>
      </c>
      <c r="B931" s="4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3" t="s">
        <v>963</v>
      </c>
      <c r="B932" s="4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false" outlineLevel="0" collapsed="false">
      <c r="A933" s="3" t="s">
        <v>964</v>
      </c>
      <c r="B933" s="4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3" t="s">
        <v>965</v>
      </c>
      <c r="B934" s="4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false" outlineLevel="0" collapsed="false">
      <c r="A935" s="3" t="s">
        <v>966</v>
      </c>
      <c r="B935" s="4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3" t="s">
        <v>967</v>
      </c>
      <c r="B936" s="4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false" outlineLevel="0" collapsed="false">
      <c r="A937" s="3" t="s">
        <v>968</v>
      </c>
      <c r="B937" s="4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3" t="s">
        <v>969</v>
      </c>
      <c r="B938" s="4" t="n">
        <v>45798</v>
      </c>
      <c r="C938" s="3" t="s">
        <v>723</v>
      </c>
      <c r="D938" s="3" t="s">
        <v>32</v>
      </c>
      <c r="E938" s="3" t="s">
        <v>19</v>
      </c>
      <c r="F938" s="3" t="s">
        <v>1485</v>
      </c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false" outlineLevel="0" collapsed="false">
      <c r="A939" s="3" t="s">
        <v>970</v>
      </c>
      <c r="B939" s="4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3" t="s">
        <v>971</v>
      </c>
      <c r="B940" s="4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false" outlineLevel="0" collapsed="false">
      <c r="A941" s="3" t="s">
        <v>972</v>
      </c>
      <c r="B941" s="4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3" t="s">
        <v>973</v>
      </c>
      <c r="B942" s="4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false" outlineLevel="0" collapsed="false">
      <c r="A943" s="3" t="s">
        <v>974</v>
      </c>
      <c r="B943" s="4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3" t="s">
        <v>975</v>
      </c>
      <c r="B944" s="4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false" outlineLevel="0" collapsed="false">
      <c r="A945" s="3" t="s">
        <v>976</v>
      </c>
      <c r="B945" s="4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3" t="s">
        <v>977</v>
      </c>
      <c r="B946" s="4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false" outlineLevel="0" collapsed="false">
      <c r="A947" s="3" t="s">
        <v>978</v>
      </c>
      <c r="B947" s="4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3" t="s">
        <v>979</v>
      </c>
      <c r="B948" s="4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false" outlineLevel="0" collapsed="false">
      <c r="A949" s="3" t="s">
        <v>980</v>
      </c>
      <c r="B949" s="4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3" t="s">
        <v>981</v>
      </c>
      <c r="B950" s="4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false" outlineLevel="0" collapsed="false">
      <c r="A951" s="3" t="s">
        <v>982</v>
      </c>
      <c r="B951" s="4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3" t="s">
        <v>983</v>
      </c>
      <c r="B952" s="4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false" outlineLevel="0" collapsed="false">
      <c r="A953" s="3" t="s">
        <v>984</v>
      </c>
      <c r="B953" s="4" t="n">
        <v>45760</v>
      </c>
      <c r="C953" s="3" t="s">
        <v>723</v>
      </c>
      <c r="D953" s="3" t="s">
        <v>23</v>
      </c>
      <c r="E953" s="3" t="s">
        <v>24</v>
      </c>
      <c r="F953" s="3" t="s">
        <v>1485</v>
      </c>
      <c r="G953" s="3" t="s">
        <v>30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3" t="s">
        <v>985</v>
      </c>
      <c r="B954" s="4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false" outlineLevel="0" collapsed="false">
      <c r="A955" s="3" t="s">
        <v>986</v>
      </c>
      <c r="B955" s="4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3" t="s">
        <v>987</v>
      </c>
      <c r="B956" s="4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false" outlineLevel="0" collapsed="false">
      <c r="A957" s="3" t="s">
        <v>988</v>
      </c>
      <c r="B957" s="4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3" t="s">
        <v>989</v>
      </c>
      <c r="B958" s="4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false" outlineLevel="0" collapsed="false">
      <c r="A959" s="3" t="s">
        <v>990</v>
      </c>
      <c r="B959" s="4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3" t="s">
        <v>991</v>
      </c>
      <c r="B960" s="4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false" outlineLevel="0" collapsed="false">
      <c r="A961" s="3" t="s">
        <v>992</v>
      </c>
      <c r="B961" s="4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3" t="s">
        <v>993</v>
      </c>
      <c r="B962" s="4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false" outlineLevel="0" collapsed="false">
      <c r="A963" s="3" t="s">
        <v>994</v>
      </c>
      <c r="B963" s="4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3" t="s">
        <v>995</v>
      </c>
      <c r="B964" s="4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false" outlineLevel="0" collapsed="false">
      <c r="A965" s="3" t="s">
        <v>996</v>
      </c>
      <c r="B965" s="4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3" t="s">
        <v>997</v>
      </c>
      <c r="B966" s="4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false" outlineLevel="0" collapsed="false">
      <c r="A967" s="3" t="s">
        <v>998</v>
      </c>
      <c r="B967" s="4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3" t="s">
        <v>999</v>
      </c>
      <c r="B968" s="4" t="n">
        <v>45707</v>
      </c>
      <c r="C968" s="3" t="s">
        <v>723</v>
      </c>
      <c r="D968" s="3" t="s">
        <v>32</v>
      </c>
      <c r="E968" s="3" t="s">
        <v>19</v>
      </c>
      <c r="F968" s="3" t="s">
        <v>1485</v>
      </c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false" outlineLevel="0" collapsed="false">
      <c r="A969" s="3" t="s">
        <v>1000</v>
      </c>
      <c r="B969" s="4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3" t="s">
        <v>1001</v>
      </c>
      <c r="B970" s="4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false" outlineLevel="0" collapsed="false">
      <c r="A971" s="3" t="s">
        <v>1002</v>
      </c>
      <c r="B971" s="4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3" t="s">
        <v>1003</v>
      </c>
      <c r="B972" s="4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false" outlineLevel="0" collapsed="false">
      <c r="A973" s="3" t="s">
        <v>1004</v>
      </c>
      <c r="B973" s="4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3" t="s">
        <v>1005</v>
      </c>
      <c r="B974" s="4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false" outlineLevel="0" collapsed="false">
      <c r="A975" s="3" t="s">
        <v>1006</v>
      </c>
      <c r="B975" s="4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3" t="s">
        <v>1007</v>
      </c>
      <c r="B976" s="4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false" outlineLevel="0" collapsed="false">
      <c r="A977" s="3" t="s">
        <v>1008</v>
      </c>
      <c r="B977" s="4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3" t="s">
        <v>1009</v>
      </c>
      <c r="B978" s="4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false" outlineLevel="0" collapsed="false">
      <c r="A979" s="3" t="s">
        <v>1010</v>
      </c>
      <c r="B979" s="4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3" t="s">
        <v>1011</v>
      </c>
      <c r="B980" s="4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false" outlineLevel="0" collapsed="false">
      <c r="A981" s="3" t="s">
        <v>1012</v>
      </c>
      <c r="B981" s="4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3" t="s">
        <v>1013</v>
      </c>
      <c r="B982" s="4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false" outlineLevel="0" collapsed="false">
      <c r="A983" s="3" t="s">
        <v>1014</v>
      </c>
      <c r="B983" s="4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3" t="s">
        <v>1015</v>
      </c>
      <c r="B984" s="4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false" outlineLevel="0" collapsed="false">
      <c r="A985" s="3" t="s">
        <v>1016</v>
      </c>
      <c r="B985" s="4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3" t="s">
        <v>1017</v>
      </c>
      <c r="B986" s="4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false" outlineLevel="0" collapsed="false">
      <c r="A987" s="3" t="s">
        <v>1018</v>
      </c>
      <c r="B987" s="4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3" t="s">
        <v>1019</v>
      </c>
      <c r="B988" s="4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false" outlineLevel="0" collapsed="false">
      <c r="A989" s="3" t="s">
        <v>1020</v>
      </c>
      <c r="B989" s="4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3" t="s">
        <v>1021</v>
      </c>
      <c r="B990" s="4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false" outlineLevel="0" collapsed="false">
      <c r="A991" s="3" t="s">
        <v>1022</v>
      </c>
      <c r="B991" s="4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3" t="s">
        <v>1023</v>
      </c>
      <c r="B992" s="4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false" outlineLevel="0" collapsed="false">
      <c r="A993" s="3" t="s">
        <v>1024</v>
      </c>
      <c r="B993" s="4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3" t="s">
        <v>1025</v>
      </c>
      <c r="B994" s="4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false" outlineLevel="0" collapsed="false">
      <c r="A995" s="3" t="s">
        <v>1026</v>
      </c>
      <c r="B995" s="4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3" t="s">
        <v>1027</v>
      </c>
      <c r="B996" s="4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false" outlineLevel="0" collapsed="false">
      <c r="A997" s="3" t="s">
        <v>1028</v>
      </c>
      <c r="B997" s="4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3" t="s">
        <v>1029</v>
      </c>
      <c r="B998" s="4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false" outlineLevel="0" collapsed="false">
      <c r="A999" s="3" t="s">
        <v>1030</v>
      </c>
      <c r="B999" s="4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3" t="s">
        <v>1031</v>
      </c>
      <c r="B1000" s="4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false" outlineLevel="0" collapsed="false">
      <c r="A1001" s="3" t="s">
        <v>1032</v>
      </c>
      <c r="B1001" s="4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3" t="s">
        <v>1033</v>
      </c>
      <c r="B1002" s="4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false" outlineLevel="0" collapsed="false">
      <c r="A1003" s="3" t="s">
        <v>1034</v>
      </c>
      <c r="B1003" s="4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3" t="s">
        <v>1035</v>
      </c>
      <c r="B1004" s="4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false" outlineLevel="0" collapsed="false">
      <c r="A1005" s="3" t="s">
        <v>1036</v>
      </c>
      <c r="B1005" s="4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3" t="s">
        <v>1037</v>
      </c>
      <c r="B1006" s="4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false" outlineLevel="0" collapsed="false">
      <c r="A1007" s="3" t="s">
        <v>1038</v>
      </c>
      <c r="B1007" s="4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3" t="s">
        <v>1039</v>
      </c>
      <c r="B1008" s="4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false" outlineLevel="0" collapsed="false">
      <c r="A1009" s="3" t="s">
        <v>1040</v>
      </c>
      <c r="B1009" s="4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3" t="s">
        <v>1041</v>
      </c>
      <c r="B1010" s="4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false" outlineLevel="0" collapsed="false">
      <c r="A1011" s="3" t="s">
        <v>1042</v>
      </c>
      <c r="B1011" s="4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3" t="s">
        <v>1043</v>
      </c>
      <c r="B1012" s="4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false" outlineLevel="0" collapsed="false">
      <c r="A1013" s="3" t="s">
        <v>1044</v>
      </c>
      <c r="B1013" s="4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3" t="s">
        <v>1045</v>
      </c>
      <c r="B1014" s="4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false" outlineLevel="0" collapsed="false">
      <c r="A1015" s="3" t="s">
        <v>1046</v>
      </c>
      <c r="B1015" s="4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3" t="s">
        <v>1047</v>
      </c>
      <c r="B1016" s="4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false" outlineLevel="0" collapsed="false">
      <c r="A1017" s="3" t="s">
        <v>1048</v>
      </c>
      <c r="B1017" s="4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3" t="s">
        <v>1049</v>
      </c>
      <c r="B1018" s="4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false" outlineLevel="0" collapsed="false">
      <c r="A1019" s="3" t="s">
        <v>1050</v>
      </c>
      <c r="B1019" s="4" t="n">
        <v>45748</v>
      </c>
      <c r="C1019" s="3" t="s">
        <v>723</v>
      </c>
      <c r="D1019" s="3" t="s">
        <v>32</v>
      </c>
      <c r="E1019" s="3" t="s">
        <v>24</v>
      </c>
      <c r="F1019" s="3" t="s">
        <v>1485</v>
      </c>
      <c r="G1019" s="3" t="s">
        <v>21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3" t="s">
        <v>1051</v>
      </c>
      <c r="B1020" s="4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false" outlineLevel="0" collapsed="false">
      <c r="A1021" s="3" t="s">
        <v>1052</v>
      </c>
      <c r="B1021" s="4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3" t="s">
        <v>1053</v>
      </c>
      <c r="B1022" s="4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false" outlineLevel="0" collapsed="false">
      <c r="A1023" s="3" t="s">
        <v>1054</v>
      </c>
      <c r="B1023" s="4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3" t="s">
        <v>1055</v>
      </c>
      <c r="B1024" s="4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false" outlineLevel="0" collapsed="false">
      <c r="A1025" s="3" t="s">
        <v>1056</v>
      </c>
      <c r="B1025" s="4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3" t="s">
        <v>1057</v>
      </c>
      <c r="B1026" s="4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false" outlineLevel="0" collapsed="false">
      <c r="A1027" s="3" t="s">
        <v>1058</v>
      </c>
      <c r="B1027" s="4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3" t="s">
        <v>1059</v>
      </c>
      <c r="B1028" s="4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false" outlineLevel="0" collapsed="false">
      <c r="A1029" s="3" t="s">
        <v>1060</v>
      </c>
      <c r="B1029" s="4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3" t="s">
        <v>1061</v>
      </c>
      <c r="B1030" s="4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false" outlineLevel="0" collapsed="false">
      <c r="A1031" s="3" t="s">
        <v>1062</v>
      </c>
      <c r="B1031" s="4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3" t="s">
        <v>1063</v>
      </c>
      <c r="B1032" s="4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false" outlineLevel="0" collapsed="false">
      <c r="A1033" s="3" t="s">
        <v>1064</v>
      </c>
      <c r="B1033" s="4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3" t="s">
        <v>1065</v>
      </c>
      <c r="B1034" s="4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false" outlineLevel="0" collapsed="false">
      <c r="A1035" s="3" t="s">
        <v>1066</v>
      </c>
      <c r="B1035" s="4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3" t="s">
        <v>1067</v>
      </c>
      <c r="B1036" s="4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false" outlineLevel="0" collapsed="false">
      <c r="A1037" s="3" t="s">
        <v>1068</v>
      </c>
      <c r="B1037" s="4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3" t="s">
        <v>1069</v>
      </c>
      <c r="B1038" s="4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false" outlineLevel="0" collapsed="false">
      <c r="A1039" s="3" t="s">
        <v>1070</v>
      </c>
      <c r="B1039" s="4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3" t="s">
        <v>1071</v>
      </c>
      <c r="B1040" s="4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false" outlineLevel="0" collapsed="false">
      <c r="A1041" s="3" t="s">
        <v>1072</v>
      </c>
      <c r="B1041" s="4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3" t="s">
        <v>1073</v>
      </c>
      <c r="B1042" s="4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false" outlineLevel="0" collapsed="false">
      <c r="A1043" s="3" t="s">
        <v>1074</v>
      </c>
      <c r="B1043" s="4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3" t="s">
        <v>1075</v>
      </c>
      <c r="B1044" s="4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false" outlineLevel="0" collapsed="false">
      <c r="A1045" s="3" t="s">
        <v>1076</v>
      </c>
      <c r="B1045" s="4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3" t="s">
        <v>1077</v>
      </c>
      <c r="B1046" s="4" t="n">
        <v>45714</v>
      </c>
      <c r="C1046" s="3" t="s">
        <v>723</v>
      </c>
      <c r="D1046" s="3" t="s">
        <v>28</v>
      </c>
      <c r="E1046" s="3" t="s">
        <v>19</v>
      </c>
      <c r="F1046" s="3" t="s">
        <v>1485</v>
      </c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false" outlineLevel="0" collapsed="false">
      <c r="A1047" s="3" t="s">
        <v>1078</v>
      </c>
      <c r="B1047" s="4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3" t="s">
        <v>1079</v>
      </c>
      <c r="B1048" s="4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false" outlineLevel="0" collapsed="false">
      <c r="A1049" s="3" t="s">
        <v>1080</v>
      </c>
      <c r="B1049" s="4" t="n">
        <v>45708</v>
      </c>
      <c r="C1049" s="3" t="s">
        <v>723</v>
      </c>
      <c r="D1049" s="3" t="s">
        <v>28</v>
      </c>
      <c r="E1049" s="3" t="s">
        <v>1485</v>
      </c>
      <c r="F1049" s="3" t="s">
        <v>29</v>
      </c>
      <c r="G1049" s="3" t="s">
        <v>21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3" t="s">
        <v>1081</v>
      </c>
      <c r="B1050" s="4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false" outlineLevel="0" collapsed="false">
      <c r="A1051" s="3" t="s">
        <v>1082</v>
      </c>
      <c r="B1051" s="4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3" t="s">
        <v>1083</v>
      </c>
      <c r="B1052" s="4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false" outlineLevel="0" collapsed="false">
      <c r="A1053" s="3" t="s">
        <v>1084</v>
      </c>
      <c r="B1053" s="4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3" t="s">
        <v>1085</v>
      </c>
      <c r="B1054" s="4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false" outlineLevel="0" collapsed="false">
      <c r="A1055" s="3" t="s">
        <v>1086</v>
      </c>
      <c r="B1055" s="4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3" t="s">
        <v>1087</v>
      </c>
      <c r="B1056" s="4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false" outlineLevel="0" collapsed="false">
      <c r="A1057" s="3" t="s">
        <v>1088</v>
      </c>
      <c r="B1057" s="4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3" t="s">
        <v>1089</v>
      </c>
      <c r="B1058" s="4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false" outlineLevel="0" collapsed="false">
      <c r="A1059" s="3" t="s">
        <v>1090</v>
      </c>
      <c r="B1059" s="4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3" t="s">
        <v>1091</v>
      </c>
      <c r="B1060" s="4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false" outlineLevel="0" collapsed="false">
      <c r="A1061" s="3" t="s">
        <v>1092</v>
      </c>
      <c r="B1061" s="4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3" t="s">
        <v>1093</v>
      </c>
      <c r="B1062" s="4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false" outlineLevel="0" collapsed="false">
      <c r="A1063" s="3" t="s">
        <v>1094</v>
      </c>
      <c r="B1063" s="4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3" t="s">
        <v>1095</v>
      </c>
      <c r="B1064" s="4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false" outlineLevel="0" collapsed="false">
      <c r="A1065" s="3" t="s">
        <v>1096</v>
      </c>
      <c r="B1065" s="4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3" t="s">
        <v>1097</v>
      </c>
      <c r="B1066" s="4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false" outlineLevel="0" collapsed="false">
      <c r="A1067" s="3" t="s">
        <v>1098</v>
      </c>
      <c r="B1067" s="4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3" t="s">
        <v>1099</v>
      </c>
      <c r="B1068" s="4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false" outlineLevel="0" collapsed="false">
      <c r="A1069" s="3" t="s">
        <v>1100</v>
      </c>
      <c r="B1069" s="4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3" t="s">
        <v>1101</v>
      </c>
      <c r="B1070" s="4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false" outlineLevel="0" collapsed="false">
      <c r="A1071" s="3" t="s">
        <v>1102</v>
      </c>
      <c r="B1071" s="4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3" t="s">
        <v>1103</v>
      </c>
      <c r="B1072" s="4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false" outlineLevel="0" collapsed="false">
      <c r="A1073" s="3" t="s">
        <v>1104</v>
      </c>
      <c r="B1073" s="4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3" t="s">
        <v>1105</v>
      </c>
      <c r="B1074" s="4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false" outlineLevel="0" collapsed="false">
      <c r="A1075" s="3" t="s">
        <v>1106</v>
      </c>
      <c r="B1075" s="4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3" t="s">
        <v>1107</v>
      </c>
      <c r="B1076" s="4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false" outlineLevel="0" collapsed="false">
      <c r="A1077" s="3" t="s">
        <v>1108</v>
      </c>
      <c r="B1077" s="4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3" t="s">
        <v>1109</v>
      </c>
      <c r="B1078" s="4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false" outlineLevel="0" collapsed="false">
      <c r="A1079" s="3" t="s">
        <v>1110</v>
      </c>
      <c r="B1079" s="4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3" t="s">
        <v>1111</v>
      </c>
      <c r="B1080" s="4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false" outlineLevel="0" collapsed="false">
      <c r="A1081" s="3" t="s">
        <v>1112</v>
      </c>
      <c r="B1081" s="4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3" t="s">
        <v>1113</v>
      </c>
      <c r="B1082" s="4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false" outlineLevel="0" collapsed="false">
      <c r="A1083" s="3" t="s">
        <v>1114</v>
      </c>
      <c r="B1083" s="4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3" t="s">
        <v>1115</v>
      </c>
      <c r="B1084" s="4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false" outlineLevel="0" collapsed="false">
      <c r="A1085" s="3" t="s">
        <v>1116</v>
      </c>
      <c r="B1085" s="4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3" t="s">
        <v>1117</v>
      </c>
      <c r="B1086" s="4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false" outlineLevel="0" collapsed="false">
      <c r="A1087" s="3" t="s">
        <v>1118</v>
      </c>
      <c r="B1087" s="4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3" t="s">
        <v>1119</v>
      </c>
      <c r="B1088" s="4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false" outlineLevel="0" collapsed="false">
      <c r="A1089" s="3" t="s">
        <v>1120</v>
      </c>
      <c r="B1089" s="4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3" t="s">
        <v>1121</v>
      </c>
      <c r="B1090" s="4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false" outlineLevel="0" collapsed="false">
      <c r="A1091" s="3" t="s">
        <v>1122</v>
      </c>
      <c r="B1091" s="4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3" t="s">
        <v>1123</v>
      </c>
      <c r="B1092" s="4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false" outlineLevel="0" collapsed="false">
      <c r="A1093" s="3" t="s">
        <v>1124</v>
      </c>
      <c r="B1093" s="4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3" t="s">
        <v>1125</v>
      </c>
      <c r="B1094" s="4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false" outlineLevel="0" collapsed="false">
      <c r="A1095" s="3" t="s">
        <v>1126</v>
      </c>
      <c r="B1095" s="4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3" t="s">
        <v>1127</v>
      </c>
      <c r="B1096" s="4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false" outlineLevel="0" collapsed="false">
      <c r="A1097" s="3" t="s">
        <v>1128</v>
      </c>
      <c r="B1097" s="4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3" t="s">
        <v>1129</v>
      </c>
      <c r="B1098" s="4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false" outlineLevel="0" collapsed="false">
      <c r="A1099" s="3" t="s">
        <v>1130</v>
      </c>
      <c r="B1099" s="4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3" t="s">
        <v>1131</v>
      </c>
      <c r="B1100" s="4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false" outlineLevel="0" collapsed="false">
      <c r="A1101" s="3" t="s">
        <v>1132</v>
      </c>
      <c r="B1101" s="4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3" t="s">
        <v>1133</v>
      </c>
      <c r="B1102" s="4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false" outlineLevel="0" collapsed="false">
      <c r="A1103" s="3" t="s">
        <v>1134</v>
      </c>
      <c r="B1103" s="4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3" t="s">
        <v>1135</v>
      </c>
      <c r="B1104" s="4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false" outlineLevel="0" collapsed="false">
      <c r="A1105" s="3" t="s">
        <v>1136</v>
      </c>
      <c r="B1105" s="4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3" t="s">
        <v>1137</v>
      </c>
      <c r="B1106" s="4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false" outlineLevel="0" collapsed="false">
      <c r="A1107" s="3" t="s">
        <v>1138</v>
      </c>
      <c r="B1107" s="4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3" t="s">
        <v>1139</v>
      </c>
      <c r="B1108" s="4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false" outlineLevel="0" collapsed="false">
      <c r="A1109" s="3" t="s">
        <v>1140</v>
      </c>
      <c r="B1109" s="4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3" t="s">
        <v>1141</v>
      </c>
      <c r="B1110" s="4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false" outlineLevel="0" collapsed="false">
      <c r="A1111" s="3" t="s">
        <v>1142</v>
      </c>
      <c r="B1111" s="4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3" t="s">
        <v>1143</v>
      </c>
      <c r="B1112" s="4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false" outlineLevel="0" collapsed="false">
      <c r="A1113" s="3" t="s">
        <v>1144</v>
      </c>
      <c r="B1113" s="4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3" t="s">
        <v>1145</v>
      </c>
      <c r="B1114" s="4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false" outlineLevel="0" collapsed="false">
      <c r="A1115" s="3" t="s">
        <v>1146</v>
      </c>
      <c r="B1115" s="4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3" t="s">
        <v>1147</v>
      </c>
      <c r="B1116" s="4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false" outlineLevel="0" collapsed="false">
      <c r="A1117" s="3" t="s">
        <v>1148</v>
      </c>
      <c r="B1117" s="4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3" t="s">
        <v>1149</v>
      </c>
      <c r="B1118" s="4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false" outlineLevel="0" collapsed="false">
      <c r="A1119" s="3" t="s">
        <v>1150</v>
      </c>
      <c r="B1119" s="4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3" t="s">
        <v>1151</v>
      </c>
      <c r="B1120" s="4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false" outlineLevel="0" collapsed="false">
      <c r="A1121" s="3" t="s">
        <v>1152</v>
      </c>
      <c r="B1121" s="4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3" t="s">
        <v>1153</v>
      </c>
      <c r="B1122" s="4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false" outlineLevel="0" collapsed="false">
      <c r="A1123" s="3" t="s">
        <v>1154</v>
      </c>
      <c r="B1123" s="4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3" t="s">
        <v>1155</v>
      </c>
      <c r="B1124" s="4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false" outlineLevel="0" collapsed="false">
      <c r="A1125" s="3" t="s">
        <v>1156</v>
      </c>
      <c r="B1125" s="4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3" t="s">
        <v>1157</v>
      </c>
      <c r="B1126" s="4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false" outlineLevel="0" collapsed="false">
      <c r="A1127" s="3" t="s">
        <v>1158</v>
      </c>
      <c r="B1127" s="4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3" t="s">
        <v>1159</v>
      </c>
      <c r="B1128" s="4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false" outlineLevel="0" collapsed="false">
      <c r="A1129" s="3" t="s">
        <v>1160</v>
      </c>
      <c r="B1129" s="4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3" t="s">
        <v>1161</v>
      </c>
      <c r="B1130" s="4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false" outlineLevel="0" collapsed="false">
      <c r="A1131" s="3" t="s">
        <v>1162</v>
      </c>
      <c r="B1131" s="4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3" t="s">
        <v>1163</v>
      </c>
      <c r="B1132" s="4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false" outlineLevel="0" collapsed="false">
      <c r="A1133" s="3" t="s">
        <v>1164</v>
      </c>
      <c r="B1133" s="4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3" t="s">
        <v>1165</v>
      </c>
      <c r="B1134" s="4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false" outlineLevel="0" collapsed="false">
      <c r="A1135" s="3" t="s">
        <v>1166</v>
      </c>
      <c r="B1135" s="4" t="n">
        <v>45765</v>
      </c>
      <c r="C1135" s="3" t="s">
        <v>723</v>
      </c>
      <c r="D1135" s="3" t="s">
        <v>18</v>
      </c>
      <c r="E1135" s="3" t="s">
        <v>24</v>
      </c>
      <c r="F1135" s="3" t="s">
        <v>1485</v>
      </c>
      <c r="G1135" s="3" t="s">
        <v>21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3" t="s">
        <v>1167</v>
      </c>
      <c r="B1136" s="4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false" outlineLevel="0" collapsed="false">
      <c r="A1137" s="3" t="s">
        <v>1168</v>
      </c>
      <c r="B1137" s="4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3" t="s">
        <v>1169</v>
      </c>
      <c r="B1138" s="4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false" outlineLevel="0" collapsed="false">
      <c r="A1139" s="3" t="s">
        <v>1170</v>
      </c>
      <c r="B1139" s="4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3" t="s">
        <v>1171</v>
      </c>
      <c r="B1140" s="4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false" outlineLevel="0" collapsed="false">
      <c r="A1141" s="3" t="s">
        <v>1172</v>
      </c>
      <c r="B1141" s="4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3" t="s">
        <v>1173</v>
      </c>
      <c r="B1142" s="4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false" outlineLevel="0" collapsed="false">
      <c r="A1143" s="3" t="s">
        <v>1174</v>
      </c>
      <c r="B1143" s="4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3" t="s">
        <v>1175</v>
      </c>
      <c r="B1144" s="4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false" outlineLevel="0" collapsed="false">
      <c r="A1145" s="3" t="s">
        <v>1176</v>
      </c>
      <c r="B1145" s="4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3" t="s">
        <v>1177</v>
      </c>
      <c r="B1146" s="4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false" outlineLevel="0" collapsed="false">
      <c r="A1147" s="3" t="s">
        <v>1178</v>
      </c>
      <c r="B1147" s="4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3" t="s">
        <v>1179</v>
      </c>
      <c r="B1148" s="4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false" outlineLevel="0" collapsed="false">
      <c r="A1149" s="3" t="s">
        <v>1180</v>
      </c>
      <c r="B1149" s="4" t="n">
        <v>45803</v>
      </c>
      <c r="C1149" s="3" t="s">
        <v>723</v>
      </c>
      <c r="D1149" s="3" t="s">
        <v>28</v>
      </c>
      <c r="E1149" s="3" t="s">
        <v>19</v>
      </c>
      <c r="F1149" s="3" t="s">
        <v>1485</v>
      </c>
      <c r="G1149" s="3" t="s">
        <v>21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3" t="s">
        <v>1181</v>
      </c>
      <c r="B1150" s="4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false" outlineLevel="0" collapsed="false">
      <c r="A1151" s="3" t="s">
        <v>1182</v>
      </c>
      <c r="B1151" s="4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3" t="s">
        <v>1183</v>
      </c>
      <c r="B1152" s="4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false" outlineLevel="0" collapsed="false">
      <c r="A1153" s="3" t="s">
        <v>1184</v>
      </c>
      <c r="B1153" s="4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3" t="s">
        <v>1185</v>
      </c>
      <c r="B1154" s="4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false" outlineLevel="0" collapsed="false">
      <c r="A1155" s="3" t="s">
        <v>1186</v>
      </c>
      <c r="B1155" s="4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3" t="s">
        <v>1187</v>
      </c>
      <c r="B1156" s="4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false" outlineLevel="0" collapsed="false">
      <c r="A1157" s="3" t="s">
        <v>1188</v>
      </c>
      <c r="B1157" s="4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3" t="s">
        <v>1189</v>
      </c>
      <c r="B1158" s="4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false" outlineLevel="0" collapsed="false">
      <c r="A1159" s="3" t="s">
        <v>1190</v>
      </c>
      <c r="B1159" s="4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3" t="s">
        <v>1191</v>
      </c>
      <c r="B1160" s="4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false" outlineLevel="0" collapsed="false">
      <c r="A1161" s="3" t="s">
        <v>1192</v>
      </c>
      <c r="B1161" s="4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3" t="s">
        <v>1193</v>
      </c>
      <c r="B1162" s="4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false" outlineLevel="0" collapsed="false">
      <c r="A1163" s="3" t="s">
        <v>1194</v>
      </c>
      <c r="B1163" s="4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3" t="s">
        <v>1195</v>
      </c>
      <c r="B1164" s="4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false" outlineLevel="0" collapsed="false">
      <c r="A1165" s="3" t="s">
        <v>1196</v>
      </c>
      <c r="B1165" s="4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3" t="s">
        <v>1197</v>
      </c>
      <c r="B1166" s="4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false" outlineLevel="0" collapsed="false">
      <c r="A1167" s="3" t="s">
        <v>1198</v>
      </c>
      <c r="B1167" s="4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3" t="s">
        <v>1199</v>
      </c>
      <c r="B1168" s="4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false" outlineLevel="0" collapsed="false">
      <c r="A1169" s="3" t="s">
        <v>1200</v>
      </c>
      <c r="B1169" s="4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3" t="s">
        <v>1201</v>
      </c>
      <c r="B1170" s="4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false" outlineLevel="0" collapsed="false">
      <c r="A1171" s="3" t="s">
        <v>1202</v>
      </c>
      <c r="B1171" s="4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3" t="s">
        <v>1203</v>
      </c>
      <c r="B1172" s="4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false" outlineLevel="0" collapsed="false">
      <c r="A1173" s="3" t="s">
        <v>1204</v>
      </c>
      <c r="B1173" s="4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3" t="s">
        <v>1205</v>
      </c>
      <c r="B1174" s="4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false" outlineLevel="0" collapsed="false">
      <c r="A1175" s="3" t="s">
        <v>1206</v>
      </c>
      <c r="B1175" s="4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3" t="s">
        <v>1207</v>
      </c>
      <c r="B1176" s="4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false" outlineLevel="0" collapsed="false">
      <c r="A1177" s="3" t="s">
        <v>1208</v>
      </c>
      <c r="B1177" s="4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3" t="s">
        <v>1209</v>
      </c>
      <c r="B1178" s="4" t="n">
        <v>45692</v>
      </c>
      <c r="C1178" s="3" t="s">
        <v>723</v>
      </c>
      <c r="D1178" s="3" t="s">
        <v>28</v>
      </c>
      <c r="E1178" s="3" t="s">
        <v>1485</v>
      </c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false" outlineLevel="0" collapsed="false">
      <c r="A1179" s="3" t="s">
        <v>1210</v>
      </c>
      <c r="B1179" s="4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3" t="s">
        <v>1211</v>
      </c>
      <c r="B1180" s="4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false" outlineLevel="0" collapsed="false">
      <c r="A1181" s="3" t="s">
        <v>1212</v>
      </c>
      <c r="B1181" s="4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3" t="s">
        <v>1213</v>
      </c>
      <c r="B1182" s="4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false" outlineLevel="0" collapsed="false">
      <c r="A1183" s="3" t="s">
        <v>1214</v>
      </c>
      <c r="B1183" s="4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3" t="s">
        <v>1215</v>
      </c>
      <c r="B1184" s="4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false" outlineLevel="0" collapsed="false">
      <c r="A1185" s="3" t="s">
        <v>1216</v>
      </c>
      <c r="B1185" s="4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3" t="s">
        <v>1217</v>
      </c>
      <c r="B1186" s="4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false" outlineLevel="0" collapsed="false">
      <c r="A1187" s="3" t="s">
        <v>1218</v>
      </c>
      <c r="B1187" s="4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3" t="s">
        <v>1219</v>
      </c>
      <c r="B1188" s="4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false" outlineLevel="0" collapsed="false">
      <c r="A1189" s="3" t="s">
        <v>1220</v>
      </c>
      <c r="B1189" s="4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3" t="s">
        <v>1221</v>
      </c>
      <c r="B1190" s="4" t="n">
        <v>45763</v>
      </c>
      <c r="C1190" s="3" t="s">
        <v>723</v>
      </c>
      <c r="D1190" s="3" t="s">
        <v>28</v>
      </c>
      <c r="E1190" s="3" t="s">
        <v>1485</v>
      </c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false" outlineLevel="0" collapsed="false">
      <c r="A1191" s="3" t="s">
        <v>1222</v>
      </c>
      <c r="B1191" s="4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3" t="s">
        <v>1223</v>
      </c>
      <c r="B1192" s="4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false" outlineLevel="0" collapsed="false">
      <c r="A1193" s="3" t="s">
        <v>1224</v>
      </c>
      <c r="B1193" s="4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3" t="s">
        <v>1225</v>
      </c>
      <c r="B1194" s="4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false" outlineLevel="0" collapsed="false">
      <c r="A1195" s="3" t="s">
        <v>1226</v>
      </c>
      <c r="B1195" s="4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3" t="s">
        <v>1227</v>
      </c>
      <c r="B1196" s="4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false" outlineLevel="0" collapsed="false">
      <c r="A1197" s="3" t="s">
        <v>1228</v>
      </c>
      <c r="B1197" s="4" t="n">
        <v>45710</v>
      </c>
      <c r="C1197" s="3" t="s">
        <v>723</v>
      </c>
      <c r="D1197" s="3" t="s">
        <v>18</v>
      </c>
      <c r="E1197" s="3" t="s">
        <v>1485</v>
      </c>
      <c r="F1197" s="3" t="s">
        <v>41</v>
      </c>
      <c r="G1197" s="3" t="s">
        <v>26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3" t="s">
        <v>1229</v>
      </c>
      <c r="B1198" s="4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false" outlineLevel="0" collapsed="false">
      <c r="A1199" s="3" t="s">
        <v>1230</v>
      </c>
      <c r="B1199" s="4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3" t="s">
        <v>1231</v>
      </c>
      <c r="B1200" s="4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false" outlineLevel="0" collapsed="false">
      <c r="A1201" s="3" t="s">
        <v>1232</v>
      </c>
      <c r="B1201" s="4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3" t="s">
        <v>1233</v>
      </c>
      <c r="B1202" s="4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false" outlineLevel="0" collapsed="false">
      <c r="A1203" s="3" t="s">
        <v>1234</v>
      </c>
      <c r="B1203" s="4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3" t="s">
        <v>1235</v>
      </c>
      <c r="B1204" s="4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false" outlineLevel="0" collapsed="false">
      <c r="A1205" s="3" t="s">
        <v>1236</v>
      </c>
      <c r="B1205" s="4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3" t="s">
        <v>1237</v>
      </c>
      <c r="B1206" s="4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false" outlineLevel="0" collapsed="false">
      <c r="A1207" s="3" t="s">
        <v>1238</v>
      </c>
      <c r="B1207" s="4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3" t="s">
        <v>1239</v>
      </c>
      <c r="B1208" s="4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false" outlineLevel="0" collapsed="false">
      <c r="A1209" s="3" t="s">
        <v>1240</v>
      </c>
      <c r="B1209" s="4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3" t="s">
        <v>1241</v>
      </c>
      <c r="B1210" s="4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false" outlineLevel="0" collapsed="false">
      <c r="A1211" s="3" t="s">
        <v>1242</v>
      </c>
      <c r="B1211" s="4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3" t="s">
        <v>1243</v>
      </c>
      <c r="B1212" s="4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false" outlineLevel="0" collapsed="false">
      <c r="A1213" s="3" t="s">
        <v>1244</v>
      </c>
      <c r="B1213" s="4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3" t="s">
        <v>1245</v>
      </c>
      <c r="B1214" s="4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false" outlineLevel="0" collapsed="false">
      <c r="A1215" s="3" t="s">
        <v>1246</v>
      </c>
      <c r="B1215" s="4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3" t="s">
        <v>1247</v>
      </c>
      <c r="B1216" s="4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false" outlineLevel="0" collapsed="false">
      <c r="A1217" s="3" t="s">
        <v>1248</v>
      </c>
      <c r="B1217" s="4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3" t="s">
        <v>1249</v>
      </c>
      <c r="B1218" s="4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false" outlineLevel="0" collapsed="false">
      <c r="A1219" s="3" t="s">
        <v>1250</v>
      </c>
      <c r="B1219" s="4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3" t="s">
        <v>1251</v>
      </c>
      <c r="B1220" s="4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false" outlineLevel="0" collapsed="false">
      <c r="A1221" s="3" t="s">
        <v>1252</v>
      </c>
      <c r="B1221" s="4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3" t="s">
        <v>1253</v>
      </c>
      <c r="B1222" s="4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false" outlineLevel="0" collapsed="false">
      <c r="A1223" s="3" t="s">
        <v>1254</v>
      </c>
      <c r="B1223" s="4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3" t="s">
        <v>1255</v>
      </c>
      <c r="B1224" s="4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false" outlineLevel="0" collapsed="false">
      <c r="A1225" s="3" t="s">
        <v>1256</v>
      </c>
      <c r="B1225" s="4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3" t="s">
        <v>1257</v>
      </c>
      <c r="B1226" s="4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false" outlineLevel="0" collapsed="false">
      <c r="A1227" s="3" t="s">
        <v>1258</v>
      </c>
      <c r="B1227" s="4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3" t="s">
        <v>1259</v>
      </c>
      <c r="B1228" s="4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false" outlineLevel="0" collapsed="false">
      <c r="A1229" s="3" t="s">
        <v>1260</v>
      </c>
      <c r="B1229" s="4" t="n">
        <v>45739</v>
      </c>
      <c r="C1229" s="3" t="s">
        <v>723</v>
      </c>
      <c r="D1229" s="3" t="s">
        <v>28</v>
      </c>
      <c r="E1229" s="3" t="s">
        <v>1485</v>
      </c>
      <c r="F1229" s="3" t="s">
        <v>29</v>
      </c>
      <c r="G1229" s="3" t="s">
        <v>26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3" t="s">
        <v>1261</v>
      </c>
      <c r="B1230" s="4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false" outlineLevel="0" collapsed="false">
      <c r="A1231" s="3" t="s">
        <v>1262</v>
      </c>
      <c r="B1231" s="4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3" t="s">
        <v>1263</v>
      </c>
      <c r="B1232" s="4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false" outlineLevel="0" collapsed="false">
      <c r="A1233" s="3" t="s">
        <v>1264</v>
      </c>
      <c r="B1233" s="4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3" t="s">
        <v>1265</v>
      </c>
      <c r="B1234" s="4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false" outlineLevel="0" collapsed="false">
      <c r="A1235" s="3" t="s">
        <v>1266</v>
      </c>
      <c r="B1235" s="4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3" t="s">
        <v>1267</v>
      </c>
      <c r="B1236" s="4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false" outlineLevel="0" collapsed="false">
      <c r="A1237" s="3" t="s">
        <v>1268</v>
      </c>
      <c r="B1237" s="4" t="n">
        <v>45693</v>
      </c>
      <c r="C1237" s="3" t="s">
        <v>723</v>
      </c>
      <c r="D1237" s="3" t="s">
        <v>23</v>
      </c>
      <c r="E1237" s="3" t="s">
        <v>24</v>
      </c>
      <c r="F1237" s="3" t="s">
        <v>1485</v>
      </c>
      <c r="G1237" s="3" t="s">
        <v>30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3" t="s">
        <v>1269</v>
      </c>
      <c r="B1238" s="4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false" outlineLevel="0" collapsed="false">
      <c r="A1239" s="3" t="s">
        <v>1270</v>
      </c>
      <c r="B1239" s="4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3" t="s">
        <v>1271</v>
      </c>
      <c r="B1240" s="4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false" outlineLevel="0" collapsed="false">
      <c r="A1241" s="3" t="s">
        <v>1272</v>
      </c>
      <c r="B1241" s="4" t="n">
        <v>45711</v>
      </c>
      <c r="C1241" s="3" t="s">
        <v>723</v>
      </c>
      <c r="D1241" s="3" t="s">
        <v>28</v>
      </c>
      <c r="E1241" s="3" t="s">
        <v>24</v>
      </c>
      <c r="F1241" s="3" t="s">
        <v>1485</v>
      </c>
      <c r="G1241" s="3" t="s">
        <v>26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3" t="s">
        <v>1273</v>
      </c>
      <c r="B1242" s="4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false" outlineLevel="0" collapsed="false">
      <c r="A1243" s="3" t="s">
        <v>1274</v>
      </c>
      <c r="B1243" s="4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3" t="s">
        <v>1275</v>
      </c>
      <c r="B1244" s="4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false" outlineLevel="0" collapsed="false">
      <c r="A1245" s="3" t="s">
        <v>1276</v>
      </c>
      <c r="B1245" s="4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3" t="s">
        <v>1277</v>
      </c>
      <c r="B1246" s="4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false" outlineLevel="0" collapsed="false">
      <c r="A1247" s="3" t="s">
        <v>1278</v>
      </c>
      <c r="B1247" s="4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3" t="s">
        <v>1279</v>
      </c>
      <c r="B1248" s="4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false" outlineLevel="0" collapsed="false">
      <c r="A1249" s="3" t="s">
        <v>1280</v>
      </c>
      <c r="B1249" s="4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3" t="s">
        <v>1281</v>
      </c>
      <c r="B1250" s="4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false" outlineLevel="0" collapsed="false">
      <c r="A1251" s="3" t="s">
        <v>1282</v>
      </c>
      <c r="B1251" s="4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3" t="s">
        <v>1283</v>
      </c>
      <c r="B1252" s="4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false" outlineLevel="0" collapsed="false">
      <c r="A1253" s="3" t="s">
        <v>1284</v>
      </c>
      <c r="B1253" s="4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3" t="s">
        <v>1285</v>
      </c>
      <c r="B1254" s="4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false" outlineLevel="0" collapsed="false">
      <c r="A1255" s="3" t="s">
        <v>1286</v>
      </c>
      <c r="B1255" s="4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3" t="s">
        <v>1287</v>
      </c>
      <c r="B1256" s="4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false" outlineLevel="0" collapsed="false">
      <c r="A1257" s="3" t="s">
        <v>1288</v>
      </c>
      <c r="B1257" s="4" t="n">
        <v>45684</v>
      </c>
      <c r="C1257" s="3" t="s">
        <v>723</v>
      </c>
      <c r="D1257" s="3" t="s">
        <v>28</v>
      </c>
      <c r="E1257" s="3" t="s">
        <v>19</v>
      </c>
      <c r="F1257" s="3" t="s">
        <v>1485</v>
      </c>
      <c r="G1257" s="3" t="s">
        <v>26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3" t="s">
        <v>1289</v>
      </c>
      <c r="B1258" s="4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false" outlineLevel="0" collapsed="false">
      <c r="A1259" s="3" t="s">
        <v>1290</v>
      </c>
      <c r="B1259" s="4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3" t="s">
        <v>1291</v>
      </c>
      <c r="B1260" s="4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false" outlineLevel="0" collapsed="false">
      <c r="A1261" s="3" t="s">
        <v>1292</v>
      </c>
      <c r="B1261" s="4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3" t="s">
        <v>1293</v>
      </c>
      <c r="B1262" s="4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false" outlineLevel="0" collapsed="false">
      <c r="A1263" s="3" t="s">
        <v>1294</v>
      </c>
      <c r="B1263" s="4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3" t="s">
        <v>1295</v>
      </c>
      <c r="B1264" s="4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false" outlineLevel="0" collapsed="false">
      <c r="A1265" s="3" t="s">
        <v>1296</v>
      </c>
      <c r="B1265" s="4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3" t="s">
        <v>1297</v>
      </c>
      <c r="B1266" s="4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false" outlineLevel="0" collapsed="false">
      <c r="A1267" s="3" t="s">
        <v>1298</v>
      </c>
      <c r="B1267" s="4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3" t="s">
        <v>1299</v>
      </c>
      <c r="B1268" s="4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false" outlineLevel="0" collapsed="false">
      <c r="A1269" s="3" t="s">
        <v>1300</v>
      </c>
      <c r="B1269" s="4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3" t="s">
        <v>1301</v>
      </c>
      <c r="B1270" s="4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false" outlineLevel="0" collapsed="false">
      <c r="A1271" s="3" t="s">
        <v>1302</v>
      </c>
      <c r="B1271" s="4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3" t="s">
        <v>1303</v>
      </c>
      <c r="B1272" s="4" t="n">
        <v>45691</v>
      </c>
      <c r="C1272" s="3" t="s">
        <v>723</v>
      </c>
      <c r="D1272" s="3" t="s">
        <v>23</v>
      </c>
      <c r="E1272" s="3" t="s">
        <v>1485</v>
      </c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false" outlineLevel="0" collapsed="false">
      <c r="A1273" s="3" t="s">
        <v>1304</v>
      </c>
      <c r="B1273" s="4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3" t="s">
        <v>1305</v>
      </c>
      <c r="B1274" s="4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false" outlineLevel="0" collapsed="false">
      <c r="A1275" s="3" t="s">
        <v>1306</v>
      </c>
      <c r="B1275" s="4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3" t="s">
        <v>1307</v>
      </c>
      <c r="B1276" s="4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false" outlineLevel="0" collapsed="false">
      <c r="A1277" s="3" t="s">
        <v>1308</v>
      </c>
      <c r="B1277" s="4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3" t="s">
        <v>1309</v>
      </c>
      <c r="B1278" s="4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false" outlineLevel="0" collapsed="false">
      <c r="A1279" s="3" t="s">
        <v>1310</v>
      </c>
      <c r="B1279" s="4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3" t="s">
        <v>1311</v>
      </c>
      <c r="B1280" s="4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false" outlineLevel="0" collapsed="false">
      <c r="A1281" s="3" t="s">
        <v>1312</v>
      </c>
      <c r="B1281" s="4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3" t="s">
        <v>1313</v>
      </c>
      <c r="B1282" s="4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false" outlineLevel="0" collapsed="false">
      <c r="A1283" s="3" t="s">
        <v>1314</v>
      </c>
      <c r="B1283" s="4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3" t="s">
        <v>1315</v>
      </c>
      <c r="B1284" s="4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false" outlineLevel="0" collapsed="false">
      <c r="A1285" s="3" t="s">
        <v>1316</v>
      </c>
      <c r="B1285" s="4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3" t="s">
        <v>1317</v>
      </c>
      <c r="B1286" s="4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false" outlineLevel="0" collapsed="false">
      <c r="A1287" s="3" t="s">
        <v>1318</v>
      </c>
      <c r="B1287" s="4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3" t="s">
        <v>1319</v>
      </c>
      <c r="B1288" s="4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false" outlineLevel="0" collapsed="false">
      <c r="A1289" s="3" t="s">
        <v>1320</v>
      </c>
      <c r="B1289" s="4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3" t="s">
        <v>1321</v>
      </c>
      <c r="B1290" s="4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false" outlineLevel="0" collapsed="false">
      <c r="A1291" s="3" t="s">
        <v>1322</v>
      </c>
      <c r="B1291" s="4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3" t="s">
        <v>1323</v>
      </c>
      <c r="B1292" s="4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false" outlineLevel="0" collapsed="false">
      <c r="A1293" s="3" t="s">
        <v>1324</v>
      </c>
      <c r="B1293" s="4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3" t="s">
        <v>1325</v>
      </c>
      <c r="B1294" s="4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false" outlineLevel="0" collapsed="false">
      <c r="A1295" s="3" t="s">
        <v>1326</v>
      </c>
      <c r="B1295" s="4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3" t="s">
        <v>1327</v>
      </c>
      <c r="B1296" s="4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false" outlineLevel="0" collapsed="false">
      <c r="A1297" s="3" t="s">
        <v>1328</v>
      </c>
      <c r="B1297" s="4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3" t="s">
        <v>1329</v>
      </c>
      <c r="B1298" s="4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false" outlineLevel="0" collapsed="false">
      <c r="A1299" s="3" t="s">
        <v>1330</v>
      </c>
      <c r="B1299" s="4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3" t="s">
        <v>1331</v>
      </c>
      <c r="B1300" s="4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false" outlineLevel="0" collapsed="false">
      <c r="A1301" s="3" t="s">
        <v>1332</v>
      </c>
      <c r="B1301" s="4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3" t="s">
        <v>1333</v>
      </c>
      <c r="B1302" s="4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false" outlineLevel="0" collapsed="false">
      <c r="A1303" s="3" t="s">
        <v>1334</v>
      </c>
      <c r="B1303" s="4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3" t="s">
        <v>1335</v>
      </c>
      <c r="B1304" s="4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false" outlineLevel="0" collapsed="false">
      <c r="A1305" s="3" t="s">
        <v>1336</v>
      </c>
      <c r="B1305" s="4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3" t="s">
        <v>1337</v>
      </c>
      <c r="B1306" s="4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false" outlineLevel="0" collapsed="false">
      <c r="A1307" s="3" t="s">
        <v>1338</v>
      </c>
      <c r="B1307" s="4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3" t="s">
        <v>1339</v>
      </c>
      <c r="B1308" s="4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false" outlineLevel="0" collapsed="false">
      <c r="A1309" s="3" t="s">
        <v>1340</v>
      </c>
      <c r="B1309" s="4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3" t="s">
        <v>1341</v>
      </c>
      <c r="B1310" s="4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false" outlineLevel="0" collapsed="false">
      <c r="A1311" s="3" t="s">
        <v>1342</v>
      </c>
      <c r="B1311" s="4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3" t="s">
        <v>1343</v>
      </c>
      <c r="B1312" s="4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false" outlineLevel="0" collapsed="false">
      <c r="A1313" s="3" t="s">
        <v>1344</v>
      </c>
      <c r="B1313" s="4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3" t="s">
        <v>1345</v>
      </c>
      <c r="B1314" s="4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false" outlineLevel="0" collapsed="false">
      <c r="A1315" s="3" t="s">
        <v>1346</v>
      </c>
      <c r="B1315" s="4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3" t="s">
        <v>1347</v>
      </c>
      <c r="B1316" s="4" t="n">
        <v>45665</v>
      </c>
      <c r="C1316" s="3" t="s">
        <v>723</v>
      </c>
      <c r="D1316" s="3" t="s">
        <v>28</v>
      </c>
      <c r="E1316" s="3" t="s">
        <v>34</v>
      </c>
      <c r="F1316" s="3" t="s">
        <v>1485</v>
      </c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false" outlineLevel="0" collapsed="false">
      <c r="A1317" s="3" t="s">
        <v>1348</v>
      </c>
      <c r="B1317" s="4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false" outlineLevel="0" collapsed="false">
      <c r="A1318" s="3" t="s">
        <v>1349</v>
      </c>
      <c r="B1318" s="4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false" outlineLevel="0" collapsed="false">
      <c r="A1319" s="3" t="s">
        <v>1350</v>
      </c>
      <c r="B1319" s="4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3" t="s">
        <v>1351</v>
      </c>
      <c r="B1320" s="4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false" outlineLevel="0" collapsed="false">
      <c r="A1321" s="3" t="s">
        <v>1352</v>
      </c>
      <c r="B1321" s="4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3" t="s">
        <v>1353</v>
      </c>
      <c r="B1322" s="4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false" outlineLevel="0" collapsed="false">
      <c r="A1323" s="3" t="s">
        <v>1354</v>
      </c>
      <c r="B1323" s="4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3" t="s">
        <v>1355</v>
      </c>
      <c r="B1324" s="4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false" outlineLevel="0" collapsed="false">
      <c r="A1325" s="3" t="s">
        <v>1356</v>
      </c>
      <c r="B1325" s="4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3" t="s">
        <v>1357</v>
      </c>
      <c r="B1326" s="4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false" outlineLevel="0" collapsed="false">
      <c r="A1327" s="3" t="s">
        <v>1358</v>
      </c>
      <c r="B1327" s="4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3" t="s">
        <v>1359</v>
      </c>
      <c r="B1328" s="4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false" outlineLevel="0" collapsed="false">
      <c r="A1329" s="3" t="s">
        <v>1360</v>
      </c>
      <c r="B1329" s="4" t="n">
        <v>45777</v>
      </c>
      <c r="C1329" s="3" t="s">
        <v>723</v>
      </c>
      <c r="D1329" s="3" t="s">
        <v>23</v>
      </c>
      <c r="E1329" s="3" t="s">
        <v>24</v>
      </c>
      <c r="F1329" s="3" t="s">
        <v>1485</v>
      </c>
      <c r="G1329" s="3" t="s">
        <v>21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3" t="s">
        <v>1361</v>
      </c>
      <c r="B1330" s="4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false" outlineLevel="0" collapsed="false">
      <c r="A1331" s="3" t="s">
        <v>1362</v>
      </c>
      <c r="B1331" s="4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3" t="s">
        <v>1363</v>
      </c>
      <c r="B1332" s="4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false" outlineLevel="0" collapsed="false">
      <c r="A1333" s="3" t="s">
        <v>1364</v>
      </c>
      <c r="B1333" s="4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3" t="s">
        <v>1365</v>
      </c>
      <c r="B1334" s="4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false" outlineLevel="0" collapsed="false">
      <c r="A1335" s="3" t="s">
        <v>1366</v>
      </c>
      <c r="B1335" s="4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3" t="s">
        <v>1367</v>
      </c>
      <c r="B1336" s="4" t="n">
        <v>45763</v>
      </c>
      <c r="C1336" s="3" t="s">
        <v>723</v>
      </c>
      <c r="D1336" s="3" t="s">
        <v>32</v>
      </c>
      <c r="E1336" s="3" t="s">
        <v>1485</v>
      </c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false" outlineLevel="0" collapsed="false">
      <c r="A1337" s="3" t="s">
        <v>1368</v>
      </c>
      <c r="B1337" s="4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3" t="s">
        <v>1369</v>
      </c>
      <c r="B1338" s="4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false" outlineLevel="0" collapsed="false">
      <c r="A1339" s="3" t="s">
        <v>1370</v>
      </c>
      <c r="B1339" s="4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3" t="s">
        <v>1371</v>
      </c>
      <c r="B1340" s="4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false" outlineLevel="0" collapsed="false">
      <c r="A1341" s="3" t="s">
        <v>1372</v>
      </c>
      <c r="B1341" s="4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3" t="s">
        <v>1373</v>
      </c>
      <c r="B1342" s="4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false" outlineLevel="0" collapsed="false">
      <c r="A1343" s="3" t="s">
        <v>1374</v>
      </c>
      <c r="B1343" s="4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3" t="s">
        <v>1375</v>
      </c>
      <c r="B1344" s="4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false" outlineLevel="0" collapsed="false">
      <c r="A1345" s="3" t="s">
        <v>1376</v>
      </c>
      <c r="B1345" s="4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3" t="s">
        <v>1377</v>
      </c>
      <c r="B1346" s="4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false" outlineLevel="0" collapsed="false">
      <c r="A1347" s="3" t="s">
        <v>1378</v>
      </c>
      <c r="B1347" s="4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3" t="s">
        <v>1379</v>
      </c>
      <c r="B1348" s="4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false" outlineLevel="0" collapsed="false">
      <c r="A1349" s="3" t="s">
        <v>1380</v>
      </c>
      <c r="B1349" s="4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3" t="s">
        <v>1381</v>
      </c>
      <c r="B1350" s="4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false" outlineLevel="0" collapsed="false">
      <c r="A1351" s="3" t="s">
        <v>1382</v>
      </c>
      <c r="B1351" s="4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3" t="s">
        <v>1383</v>
      </c>
      <c r="B1352" s="4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false" outlineLevel="0" collapsed="false">
      <c r="A1353" s="3" t="s">
        <v>1384</v>
      </c>
      <c r="B1353" s="4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3" t="s">
        <v>1385</v>
      </c>
      <c r="B1354" s="4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false" outlineLevel="0" collapsed="false">
      <c r="A1355" s="3" t="s">
        <v>1386</v>
      </c>
      <c r="B1355" s="4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3" t="s">
        <v>1387</v>
      </c>
      <c r="B1356" s="4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false" outlineLevel="0" collapsed="false">
      <c r="A1357" s="3" t="s">
        <v>1388</v>
      </c>
      <c r="B1357" s="4" t="n">
        <v>45717</v>
      </c>
      <c r="C1357" s="3" t="s">
        <v>723</v>
      </c>
      <c r="D1357" s="3" t="s">
        <v>18</v>
      </c>
      <c r="E1357" s="3" t="s">
        <v>19</v>
      </c>
      <c r="F1357" s="3" t="s">
        <v>1485</v>
      </c>
      <c r="G1357" s="3" t="s">
        <v>26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3" t="s">
        <v>1389</v>
      </c>
      <c r="B1358" s="4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false" outlineLevel="0" collapsed="false">
      <c r="A1359" s="3" t="s">
        <v>1390</v>
      </c>
      <c r="B1359" s="4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3" t="s">
        <v>1391</v>
      </c>
      <c r="B1360" s="4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false" outlineLevel="0" collapsed="false">
      <c r="A1361" s="3" t="s">
        <v>1392</v>
      </c>
      <c r="B1361" s="4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3" t="s">
        <v>1393</v>
      </c>
      <c r="B1362" s="4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false" outlineLevel="0" collapsed="false">
      <c r="A1363" s="3" t="s">
        <v>1394</v>
      </c>
      <c r="B1363" s="4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3" t="s">
        <v>1395</v>
      </c>
      <c r="B1364" s="4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false" outlineLevel="0" collapsed="false">
      <c r="A1365" s="3" t="s">
        <v>1396</v>
      </c>
      <c r="B1365" s="4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3" t="s">
        <v>1397</v>
      </c>
      <c r="B1366" s="4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false" outlineLevel="0" collapsed="false">
      <c r="A1367" s="3" t="s">
        <v>1398</v>
      </c>
      <c r="B1367" s="4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3" t="s">
        <v>1399</v>
      </c>
      <c r="B1368" s="4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false" outlineLevel="0" collapsed="false">
      <c r="A1369" s="3" t="s">
        <v>1400</v>
      </c>
      <c r="B1369" s="4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3" t="s">
        <v>1401</v>
      </c>
      <c r="B1370" s="4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false" outlineLevel="0" collapsed="false">
      <c r="A1371" s="3" t="s">
        <v>1402</v>
      </c>
      <c r="B1371" s="4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3" t="s">
        <v>1403</v>
      </c>
      <c r="B1372" s="4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false" outlineLevel="0" collapsed="false">
      <c r="A1373" s="3" t="s">
        <v>1404</v>
      </c>
      <c r="B1373" s="4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3" t="s">
        <v>1405</v>
      </c>
      <c r="B1374" s="4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false" outlineLevel="0" collapsed="false">
      <c r="A1375" s="3" t="s">
        <v>1406</v>
      </c>
      <c r="B1375" s="4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3" t="s">
        <v>1407</v>
      </c>
      <c r="B1376" s="4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false" outlineLevel="0" collapsed="false">
      <c r="A1377" s="3" t="s">
        <v>1408</v>
      </c>
      <c r="B1377" s="4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3" t="s">
        <v>1409</v>
      </c>
      <c r="B1378" s="4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false" outlineLevel="0" collapsed="false">
      <c r="A1379" s="3" t="s">
        <v>1410</v>
      </c>
      <c r="B1379" s="4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3" t="s">
        <v>1411</v>
      </c>
      <c r="B1380" s="4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false" outlineLevel="0" collapsed="false">
      <c r="A1381" s="3" t="s">
        <v>1412</v>
      </c>
      <c r="B1381" s="4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3" t="s">
        <v>1413</v>
      </c>
      <c r="B1382" s="4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false" outlineLevel="0" collapsed="false">
      <c r="A1383" s="3" t="s">
        <v>1414</v>
      </c>
      <c r="B1383" s="4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3" t="s">
        <v>1415</v>
      </c>
      <c r="B1384" s="4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false" outlineLevel="0" collapsed="false">
      <c r="A1385" s="3" t="s">
        <v>1416</v>
      </c>
      <c r="B1385" s="4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3" t="s">
        <v>1417</v>
      </c>
      <c r="B1386" s="4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false" outlineLevel="0" collapsed="false">
      <c r="A1387" s="3" t="s">
        <v>1418</v>
      </c>
      <c r="B1387" s="4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3" t="s">
        <v>1419</v>
      </c>
      <c r="B1388" s="4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false" outlineLevel="0" collapsed="false">
      <c r="A1389" s="3" t="s">
        <v>1420</v>
      </c>
      <c r="B1389" s="4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3" t="s">
        <v>1421</v>
      </c>
      <c r="B1390" s="4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false" outlineLevel="0" collapsed="false">
      <c r="A1391" s="3" t="s">
        <v>1422</v>
      </c>
      <c r="B1391" s="4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3" t="s">
        <v>1423</v>
      </c>
      <c r="B1392" s="4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false" outlineLevel="0" collapsed="false">
      <c r="A1393" s="3" t="s">
        <v>1424</v>
      </c>
      <c r="B1393" s="4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3" t="s">
        <v>1425</v>
      </c>
      <c r="B1394" s="4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false" outlineLevel="0" collapsed="false">
      <c r="A1395" s="3" t="s">
        <v>1426</v>
      </c>
      <c r="B1395" s="4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3" t="s">
        <v>1427</v>
      </c>
      <c r="B1396" s="4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false" outlineLevel="0" collapsed="false">
      <c r="A1397" s="3" t="s">
        <v>1428</v>
      </c>
      <c r="B1397" s="4" t="n">
        <v>45699</v>
      </c>
      <c r="C1397" s="3" t="s">
        <v>723</v>
      </c>
      <c r="D1397" s="3" t="s">
        <v>32</v>
      </c>
      <c r="E1397" s="3" t="s">
        <v>24</v>
      </c>
      <c r="F1397" s="3" t="s">
        <v>1485</v>
      </c>
      <c r="G1397" s="3" t="s">
        <v>30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3" t="s">
        <v>1429</v>
      </c>
      <c r="B1398" s="4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false" outlineLevel="0" collapsed="false">
      <c r="A1399" s="3" t="s">
        <v>1430</v>
      </c>
      <c r="B1399" s="4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3" t="s">
        <v>1431</v>
      </c>
      <c r="B1400" s="4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false" outlineLevel="0" collapsed="false">
      <c r="A1401" s="3" t="s">
        <v>1432</v>
      </c>
      <c r="B1401" s="4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2026-06-27T06:59:48Z</dcterms:created>
  <dc:creator>openpyxl</dc:creator>
  <dc:description/>
  <dc:language>en-US</dc:language>
  <cp:lastModifiedBy/>
  <dcterms:modified xsi:type="dcterms:W3CDTF">2026-06-27T07:00:03Z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